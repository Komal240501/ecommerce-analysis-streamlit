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9d123d7ccb16da/Desktop/"/>
    </mc:Choice>
  </mc:AlternateContent>
  <xr:revisionPtr revIDLastSave="0" documentId="13_ncr:1_{4117FF20-3FA6-4EB3-8377-6615EA8A2586}" xr6:coauthVersionLast="47" xr6:coauthVersionMax="47" xr10:uidLastSave="{00000000-0000-0000-0000-000000000000}"/>
  <bookViews>
    <workbookView xWindow="1392" yWindow="1572" windowWidth="13260" windowHeight="10668" firstSheet="1" activeTab="2" xr2:uid="{5C0B2E8C-46C4-4E75-9969-2871204A1142}"/>
  </bookViews>
  <sheets>
    <sheet name="class 1" sheetId="2" r:id="rId1"/>
    <sheet name="class 2" sheetId="1" r:id="rId2"/>
    <sheet name="class 3" sheetId="3" r:id="rId3"/>
    <sheet name="Detail1" sheetId="5" r:id="rId4"/>
    <sheet name="CLASS 4" sheetId="4" r:id="rId5"/>
    <sheet name="Sheet1" sheetId="6" r:id="rId6"/>
  </sheets>
  <definedNames>
    <definedName name="DYN_MONTHS" localSheetId="2">OFFSET('class 3'!$C$48,1,0,COUNTA('class 3'!$C$49:$C$60),1)</definedName>
    <definedName name="DYN_SALES">OFFSET('class 3'!$C$48,1,1,COUNTA('class 3'!$C$49:$C$60),1)</definedName>
    <definedName name="SALES">'class 3'!$C$23:$C$34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3" l="1"/>
  <c r="E37" i="3" a="1"/>
  <c r="E37" i="3" s="1"/>
  <c r="G693" i="4" a="1"/>
  <c r="G693" i="4" s="1"/>
  <c r="G694" i="4" a="1"/>
  <c r="G694" i="4" s="1"/>
  <c r="G695" i="4" a="1"/>
  <c r="G695" i="4" s="1"/>
  <c r="G696" i="4" a="1"/>
  <c r="G696" i="4"/>
  <c r="G697" i="4" a="1"/>
  <c r="G697" i="4"/>
  <c r="G698" i="4" a="1"/>
  <c r="G698" i="4"/>
  <c r="G699" i="4" a="1"/>
  <c r="G699" i="4"/>
  <c r="G700" i="4" a="1"/>
  <c r="G700" i="4"/>
  <c r="G3" i="4" a="1"/>
  <c r="G3" i="4" s="1"/>
  <c r="G4" i="4" a="1"/>
  <c r="G4" i="4" s="1"/>
  <c r="G5" i="4" a="1"/>
  <c r="G5" i="4"/>
  <c r="G6" i="4" a="1"/>
  <c r="G6" i="4" s="1"/>
  <c r="G7" i="4" a="1"/>
  <c r="G7" i="4"/>
  <c r="G8" i="4" a="1"/>
  <c r="G8" i="4"/>
  <c r="G9" i="4" a="1"/>
  <c r="G9" i="4"/>
  <c r="G10" i="4" a="1"/>
  <c r="G10" i="4"/>
  <c r="G11" i="4" a="1"/>
  <c r="G11" i="4"/>
  <c r="G12" i="4" a="1"/>
  <c r="G12" i="4" s="1"/>
  <c r="G13" i="4" a="1"/>
  <c r="G13" i="4" s="1"/>
  <c r="G14" i="4" a="1"/>
  <c r="G14" i="4" s="1"/>
  <c r="G15" i="4" a="1"/>
  <c r="G15" i="4"/>
  <c r="G16" i="4" a="1"/>
  <c r="G16" i="4" s="1"/>
  <c r="G17" i="4" a="1"/>
  <c r="G17" i="4"/>
  <c r="G18" i="4" a="1"/>
  <c r="G18" i="4"/>
  <c r="G19" i="4" a="1"/>
  <c r="G19" i="4"/>
  <c r="G20" i="4" a="1"/>
  <c r="G20" i="4"/>
  <c r="G21" i="4" a="1"/>
  <c r="G21" i="4" s="1"/>
  <c r="G22" i="4" a="1"/>
  <c r="G22" i="4" s="1"/>
  <c r="G23" i="4" a="1"/>
  <c r="G23" i="4"/>
  <c r="G24" i="4" a="1"/>
  <c r="G24" i="4"/>
  <c r="G25" i="4" a="1"/>
  <c r="G25" i="4"/>
  <c r="G26" i="4" a="1"/>
  <c r="G26" i="4"/>
  <c r="G27" i="4" a="1"/>
  <c r="G27" i="4"/>
  <c r="G28" i="4" a="1"/>
  <c r="G28" i="4"/>
  <c r="G29" i="4" a="1"/>
  <c r="G29" i="4" s="1"/>
  <c r="G30" i="4" a="1"/>
  <c r="G30" i="4" s="1"/>
  <c r="G31" i="4" a="1"/>
  <c r="G31" i="4"/>
  <c r="G32" i="4" a="1"/>
  <c r="G32" i="4" s="1"/>
  <c r="G33" i="4" a="1"/>
  <c r="G33" i="4" s="1"/>
  <c r="G34" i="4" a="1"/>
  <c r="G34" i="4"/>
  <c r="G35" i="4" a="1"/>
  <c r="G35" i="4"/>
  <c r="G36" i="4" a="1"/>
  <c r="G36" i="4"/>
  <c r="G37" i="4" a="1"/>
  <c r="G37" i="4"/>
  <c r="G38" i="4" a="1"/>
  <c r="G38" i="4" s="1"/>
  <c r="G39" i="4" a="1"/>
  <c r="G39" i="4"/>
  <c r="G40" i="4" a="1"/>
  <c r="G40" i="4"/>
  <c r="G41" i="4" a="1"/>
  <c r="G41" i="4"/>
  <c r="G42" i="4" a="1"/>
  <c r="G42" i="4"/>
  <c r="G43" i="4" a="1"/>
  <c r="G43" i="4"/>
  <c r="G44" i="4" a="1"/>
  <c r="G44" i="4"/>
  <c r="G45" i="4" a="1"/>
  <c r="G45" i="4"/>
  <c r="G46" i="4" a="1"/>
  <c r="G46" i="4" s="1"/>
  <c r="G47" i="4" a="1"/>
  <c r="G47" i="4"/>
  <c r="G48" i="4" a="1"/>
  <c r="G48" i="4"/>
  <c r="G49" i="4" a="1"/>
  <c r="G49" i="4" s="1"/>
  <c r="G50" i="4" a="1"/>
  <c r="G50" i="4" s="1"/>
  <c r="G51" i="4" a="1"/>
  <c r="G51" i="4"/>
  <c r="G52" i="4" a="1"/>
  <c r="G52" i="4"/>
  <c r="G53" i="4" a="1"/>
  <c r="G53" i="4"/>
  <c r="G54" i="4" a="1"/>
  <c r="G54" i="4" s="1"/>
  <c r="G55" i="4" a="1"/>
  <c r="G55" i="4"/>
  <c r="G56" i="4" a="1"/>
  <c r="G56" i="4" s="1"/>
  <c r="G57" i="4" a="1"/>
  <c r="G57" i="4"/>
  <c r="G58" i="4" a="1"/>
  <c r="G58" i="4"/>
  <c r="G59" i="4" a="1"/>
  <c r="G59" i="4"/>
  <c r="G60" i="4" a="1"/>
  <c r="G60" i="4"/>
  <c r="G61" i="4" a="1"/>
  <c r="G61" i="4"/>
  <c r="G62" i="4" a="1"/>
  <c r="G62" i="4" s="1"/>
  <c r="G63" i="4" a="1"/>
  <c r="G63" i="4"/>
  <c r="G64" i="4" a="1"/>
  <c r="G64" i="4" s="1"/>
  <c r="G65" i="4" a="1"/>
  <c r="G65" i="4"/>
  <c r="G66" i="4" a="1"/>
  <c r="G66" i="4" s="1"/>
  <c r="G67" i="4" a="1"/>
  <c r="G67" i="4" s="1"/>
  <c r="G68" i="4" a="1"/>
  <c r="G68" i="4"/>
  <c r="G69" i="4" a="1"/>
  <c r="G69" i="4"/>
  <c r="G70" i="4" a="1"/>
  <c r="G70" i="4" s="1"/>
  <c r="G71" i="4" a="1"/>
  <c r="G71" i="4"/>
  <c r="G72" i="4" a="1"/>
  <c r="G72" i="4" s="1"/>
  <c r="G73" i="4" a="1"/>
  <c r="G73" i="4" s="1"/>
  <c r="G74" i="4" a="1"/>
  <c r="G74" i="4"/>
  <c r="G75" i="4" a="1"/>
  <c r="G75" i="4"/>
  <c r="G76" i="4" a="1"/>
  <c r="G76" i="4"/>
  <c r="G77" i="4" a="1"/>
  <c r="G77" i="4"/>
  <c r="G78" i="4" a="1"/>
  <c r="G78" i="4" s="1"/>
  <c r="G79" i="4" a="1"/>
  <c r="G79" i="4"/>
  <c r="G80" i="4" a="1"/>
  <c r="G80" i="4"/>
  <c r="G81" i="4" a="1"/>
  <c r="G81" i="4" s="1"/>
  <c r="G82" i="4" a="1"/>
  <c r="G82" i="4"/>
  <c r="G83" i="4" a="1"/>
  <c r="G83" i="4" s="1"/>
  <c r="G84" i="4" a="1"/>
  <c r="G84" i="4" s="1"/>
  <c r="G85" i="4" a="1"/>
  <c r="G85" i="4"/>
  <c r="G86" i="4" a="1"/>
  <c r="G86" i="4" s="1"/>
  <c r="G87" i="4" a="1"/>
  <c r="G87" i="4"/>
  <c r="G88" i="4" a="1"/>
  <c r="G88" i="4"/>
  <c r="G89" i="4" a="1"/>
  <c r="G89" i="4" s="1"/>
  <c r="G90" i="4" a="1"/>
  <c r="G90" i="4"/>
  <c r="G91" i="4" a="1"/>
  <c r="G91" i="4"/>
  <c r="G92" i="4" a="1"/>
  <c r="G92" i="4"/>
  <c r="G93" i="4" a="1"/>
  <c r="G93" i="4"/>
  <c r="G94" i="4" a="1"/>
  <c r="G94" i="4" s="1"/>
  <c r="G95" i="4" a="1"/>
  <c r="G95" i="4"/>
  <c r="G96" i="4" a="1"/>
  <c r="G96" i="4"/>
  <c r="G97" i="4" a="1"/>
  <c r="G97" i="4"/>
  <c r="G98" i="4" a="1"/>
  <c r="G98" i="4" s="1"/>
  <c r="G99" i="4" a="1"/>
  <c r="G99" i="4"/>
  <c r="G100" i="4" a="1"/>
  <c r="G100" i="4" s="1"/>
  <c r="G101" i="4" a="1"/>
  <c r="G101" i="4" s="1"/>
  <c r="G102" i="4" a="1"/>
  <c r="G102" i="4" s="1"/>
  <c r="G103" i="4" a="1"/>
  <c r="G103" i="4"/>
  <c r="G104" i="4" a="1"/>
  <c r="G104" i="4"/>
  <c r="G105" i="4" a="1"/>
  <c r="G105" i="4"/>
  <c r="G106" i="4" a="1"/>
  <c r="G106" i="4" s="1"/>
  <c r="G107" i="4" a="1"/>
  <c r="G107" i="4"/>
  <c r="G108" i="4" a="1"/>
  <c r="G108" i="4"/>
  <c r="G109" i="4" a="1"/>
  <c r="G109" i="4"/>
  <c r="G110" i="4" a="1"/>
  <c r="G110" i="4" s="1"/>
  <c r="G111" i="4" a="1"/>
  <c r="G111" i="4"/>
  <c r="G112" i="4" a="1"/>
  <c r="G112" i="4"/>
  <c r="G113" i="4" a="1"/>
  <c r="G113" i="4"/>
  <c r="G114" i="4" a="1"/>
  <c r="G114" i="4"/>
  <c r="G115" i="4" a="1"/>
  <c r="G115" i="4" s="1"/>
  <c r="G116" i="4" a="1"/>
  <c r="G116" i="4"/>
  <c r="G117" i="4" a="1"/>
  <c r="G117" i="4" s="1"/>
  <c r="G118" i="4" a="1"/>
  <c r="G118" i="4" s="1"/>
  <c r="G119" i="4" a="1"/>
  <c r="G119" i="4"/>
  <c r="G120" i="4" a="1"/>
  <c r="G120" i="4"/>
  <c r="G121" i="4" a="1"/>
  <c r="G121" i="4"/>
  <c r="G122" i="4" a="1"/>
  <c r="G122" i="4"/>
  <c r="G123" i="4" a="1"/>
  <c r="G123" i="4" s="1"/>
  <c r="G124" i="4" a="1"/>
  <c r="G124" i="4"/>
  <c r="G125" i="4" a="1"/>
  <c r="G125" i="4"/>
  <c r="G126" i="4" a="1"/>
  <c r="G126" i="4" s="1"/>
  <c r="G127" i="4" a="1"/>
  <c r="G127" i="4" s="1"/>
  <c r="G128" i="4" a="1"/>
  <c r="G128" i="4"/>
  <c r="G129" i="4" a="1"/>
  <c r="G129" i="4"/>
  <c r="G130" i="4" a="1"/>
  <c r="G130" i="4"/>
  <c r="G131" i="4" a="1"/>
  <c r="G131" i="4"/>
  <c r="G132" i="4" a="1"/>
  <c r="G132" i="4" s="1"/>
  <c r="G133" i="4" a="1"/>
  <c r="G133" i="4"/>
  <c r="G134" i="4" a="1"/>
  <c r="G134" i="4" s="1"/>
  <c r="G135" i="4" a="1"/>
  <c r="G135" i="4"/>
  <c r="G136" i="4" a="1"/>
  <c r="G136" i="4"/>
  <c r="G137" i="4" a="1"/>
  <c r="G137" i="4"/>
  <c r="G138" i="4" a="1"/>
  <c r="G138" i="4"/>
  <c r="G139" i="4" a="1"/>
  <c r="G139" i="4"/>
  <c r="G140" i="4" a="1"/>
  <c r="G140" i="4" s="1"/>
  <c r="G141" i="4" a="1"/>
  <c r="G141" i="4"/>
  <c r="G142" i="4" a="1"/>
  <c r="G142" i="4" s="1"/>
  <c r="G143" i="4" a="1"/>
  <c r="G143" i="4" s="1"/>
  <c r="G144" i="4" a="1"/>
  <c r="G144" i="4" s="1"/>
  <c r="G145" i="4" a="1"/>
  <c r="G145" i="4"/>
  <c r="G146" i="4" a="1"/>
  <c r="G146" i="4"/>
  <c r="G147" i="4" a="1"/>
  <c r="G147" i="4"/>
  <c r="G148" i="4" a="1"/>
  <c r="G148" i="4"/>
  <c r="G149" i="4" a="1"/>
  <c r="G149" i="4" s="1"/>
  <c r="G150" i="4" a="1"/>
  <c r="G150" i="4" s="1"/>
  <c r="G151" i="4" a="1"/>
  <c r="G151" i="4"/>
  <c r="G152" i="4" a="1"/>
  <c r="G152" i="4"/>
  <c r="G153" i="4" a="1"/>
  <c r="G153" i="4"/>
  <c r="G154" i="4" a="1"/>
  <c r="G154" i="4"/>
  <c r="G155" i="4" a="1"/>
  <c r="G155" i="4"/>
  <c r="G156" i="4" a="1"/>
  <c r="G156" i="4"/>
  <c r="G157" i="4" a="1"/>
  <c r="G157" i="4" s="1"/>
  <c r="G158" i="4" a="1"/>
  <c r="G158" i="4" s="1"/>
  <c r="G159" i="4" a="1"/>
  <c r="G159" i="4"/>
  <c r="G160" i="4" a="1"/>
  <c r="G160" i="4" s="1"/>
  <c r="G161" i="4" a="1"/>
  <c r="G161" i="4" s="1"/>
  <c r="G162" i="4" a="1"/>
  <c r="G162" i="4"/>
  <c r="G163" i="4" a="1"/>
  <c r="G163" i="4"/>
  <c r="G164" i="4" a="1"/>
  <c r="G164" i="4"/>
  <c r="G165" i="4" a="1"/>
  <c r="G165" i="4"/>
  <c r="G166" i="4" a="1"/>
  <c r="G166" i="4" s="1"/>
  <c r="G167" i="4" a="1"/>
  <c r="G167" i="4"/>
  <c r="G168" i="4" a="1"/>
  <c r="G168" i="4"/>
  <c r="G169" i="4" a="1"/>
  <c r="G169" i="4"/>
  <c r="G170" i="4" a="1"/>
  <c r="G170" i="4"/>
  <c r="G171" i="4" a="1"/>
  <c r="G171" i="4"/>
  <c r="G172" i="4" a="1"/>
  <c r="G172" i="4"/>
  <c r="G173" i="4" a="1"/>
  <c r="G173" i="4"/>
  <c r="G174" i="4" a="1"/>
  <c r="G174" i="4" s="1"/>
  <c r="G175" i="4" a="1"/>
  <c r="G175" i="4" s="1"/>
  <c r="G176" i="4" a="1"/>
  <c r="G176" i="4"/>
  <c r="G177" i="4" a="1"/>
  <c r="G177" i="4" s="1"/>
  <c r="G178" i="4" a="1"/>
  <c r="G178" i="4" s="1"/>
  <c r="G179" i="4" a="1"/>
  <c r="G179" i="4"/>
  <c r="G180" i="4" a="1"/>
  <c r="G180" i="4"/>
  <c r="G181" i="4" a="1"/>
  <c r="G181" i="4"/>
  <c r="G182" i="4" a="1"/>
  <c r="G182" i="4" s="1"/>
  <c r="G183" i="4" a="1"/>
  <c r="G183" i="4" s="1"/>
  <c r="G184" i="4" a="1"/>
  <c r="G184" i="4"/>
  <c r="G185" i="4" a="1"/>
  <c r="G185" i="4"/>
  <c r="G186" i="4" a="1"/>
  <c r="G186" i="4"/>
  <c r="G187" i="4" a="1"/>
  <c r="G187" i="4"/>
  <c r="G188" i="4" a="1"/>
  <c r="G188" i="4"/>
  <c r="G189" i="4" a="1"/>
  <c r="G189" i="4"/>
  <c r="G190" i="4" a="1"/>
  <c r="G190" i="4" s="1"/>
  <c r="G191" i="4" a="1"/>
  <c r="G191" i="4"/>
  <c r="G192" i="4" a="1"/>
  <c r="G192" i="4" s="1"/>
  <c r="G193" i="4" a="1"/>
  <c r="G193" i="4"/>
  <c r="G194" i="4" a="1"/>
  <c r="G194" i="4" s="1"/>
  <c r="G195" i="4" a="1"/>
  <c r="G195" i="4" s="1"/>
  <c r="G196" i="4" a="1"/>
  <c r="G196" i="4"/>
  <c r="G197" i="4" a="1"/>
  <c r="G197" i="4"/>
  <c r="G198" i="4" a="1"/>
  <c r="G198" i="4" s="1"/>
  <c r="G199" i="4" a="1"/>
  <c r="G199" i="4"/>
  <c r="G200" i="4" a="1"/>
  <c r="G200" i="4" s="1"/>
  <c r="G201" i="4" a="1"/>
  <c r="G201" i="4"/>
  <c r="G202" i="4" a="1"/>
  <c r="G202" i="4"/>
  <c r="G203" i="4" a="1"/>
  <c r="G203" i="4"/>
  <c r="G204" i="4" a="1"/>
  <c r="G204" i="4"/>
  <c r="G205" i="4" a="1"/>
  <c r="G205" i="4"/>
  <c r="G206" i="4" a="1"/>
  <c r="G206" i="4" s="1"/>
  <c r="G207" i="4" a="1"/>
  <c r="G207" i="4"/>
  <c r="G208" i="4" a="1"/>
  <c r="G208" i="4"/>
  <c r="G209" i="4" a="1"/>
  <c r="G209" i="4" s="1"/>
  <c r="G210" i="4" a="1"/>
  <c r="G210" i="4"/>
  <c r="G211" i="4" a="1"/>
  <c r="G211" i="4" s="1"/>
  <c r="G212" i="4" a="1"/>
  <c r="G212" i="4" s="1"/>
  <c r="G213" i="4" a="1"/>
  <c r="G213" i="4"/>
  <c r="G214" i="4" a="1"/>
  <c r="G214" i="4" s="1"/>
  <c r="G215" i="4" a="1"/>
  <c r="G215" i="4"/>
  <c r="G216" i="4" a="1"/>
  <c r="G216" i="4"/>
  <c r="G217" i="4" a="1"/>
  <c r="G217" i="4" s="1"/>
  <c r="G218" i="4" a="1"/>
  <c r="G218" i="4" s="1"/>
  <c r="G219" i="4" a="1"/>
  <c r="G219" i="4"/>
  <c r="G220" i="4" a="1"/>
  <c r="G220" i="4"/>
  <c r="G221" i="4" a="1"/>
  <c r="G221" i="4"/>
  <c r="G222" i="4" a="1"/>
  <c r="G222" i="4" s="1"/>
  <c r="G223" i="4" a="1"/>
  <c r="G223" i="4"/>
  <c r="G224" i="4" a="1"/>
  <c r="G224" i="4"/>
  <c r="G225" i="4" a="1"/>
  <c r="G225" i="4"/>
  <c r="G226" i="4" a="1"/>
  <c r="G226" i="4" s="1"/>
  <c r="G227" i="4" a="1"/>
  <c r="G227" i="4"/>
  <c r="G228" i="4" a="1"/>
  <c r="G228" i="4" s="1"/>
  <c r="G229" i="4" a="1"/>
  <c r="G229" i="4" s="1"/>
  <c r="G230" i="4" a="1"/>
  <c r="G230" i="4" s="1"/>
  <c r="G231" i="4" a="1"/>
  <c r="G231" i="4"/>
  <c r="G232" i="4" a="1"/>
  <c r="G232" i="4"/>
  <c r="G233" i="4" a="1"/>
  <c r="G233" i="4"/>
  <c r="G234" i="4" a="1"/>
  <c r="G234" i="4" s="1"/>
  <c r="G235" i="4" a="1"/>
  <c r="G235" i="4" s="1"/>
  <c r="G236" i="4" a="1"/>
  <c r="G236" i="4"/>
  <c r="G237" i="4" a="1"/>
  <c r="G237" i="4"/>
  <c r="G238" i="4" a="1"/>
  <c r="G238" i="4" s="1"/>
  <c r="G239" i="4" a="1"/>
  <c r="G239" i="4"/>
  <c r="G240" i="4" a="1"/>
  <c r="G240" i="4"/>
  <c r="G241" i="4" a="1"/>
  <c r="G241" i="4"/>
  <c r="G242" i="4" a="1"/>
  <c r="G242" i="4"/>
  <c r="G243" i="4" a="1"/>
  <c r="G243" i="4" s="1"/>
  <c r="G244" i="4" a="1"/>
  <c r="G244" i="4" s="1"/>
  <c r="G245" i="4" a="1"/>
  <c r="G245" i="4" s="1"/>
  <c r="G246" i="4" a="1"/>
  <c r="G246" i="4" s="1"/>
  <c r="G247" i="4" a="1"/>
  <c r="G247" i="4"/>
  <c r="G248" i="4" a="1"/>
  <c r="G248" i="4"/>
  <c r="G249" i="4" a="1"/>
  <c r="G249" i="4"/>
  <c r="G250" i="4" a="1"/>
  <c r="G250" i="4"/>
  <c r="G251" i="4" a="1"/>
  <c r="G251" i="4" s="1"/>
  <c r="G252" i="4" a="1"/>
  <c r="G252" i="4" s="1"/>
  <c r="G253" i="4" a="1"/>
  <c r="G253" i="4"/>
  <c r="G254" i="4" a="1"/>
  <c r="G254" i="4" s="1"/>
  <c r="G255" i="4" a="1"/>
  <c r="G255" i="4" s="1"/>
  <c r="G256" i="4" a="1"/>
  <c r="G256" i="4"/>
  <c r="G257" i="4" a="1"/>
  <c r="G257" i="4"/>
  <c r="G258" i="4" a="1"/>
  <c r="G258" i="4"/>
  <c r="G259" i="4" a="1"/>
  <c r="G259" i="4"/>
  <c r="G260" i="4" a="1"/>
  <c r="G260" i="4" s="1"/>
  <c r="G261" i="4" a="1"/>
  <c r="G261" i="4"/>
  <c r="G262" i="4" a="1"/>
  <c r="G262" i="4" s="1"/>
  <c r="G263" i="4" a="1"/>
  <c r="G263" i="4"/>
  <c r="G264" i="4" a="1"/>
  <c r="G264" i="4"/>
  <c r="G265" i="4" a="1"/>
  <c r="G265" i="4"/>
  <c r="G266" i="4" a="1"/>
  <c r="G266" i="4"/>
  <c r="G267" i="4" a="1"/>
  <c r="G267" i="4"/>
  <c r="G268" i="4" a="1"/>
  <c r="G268" i="4" s="1"/>
  <c r="G269" i="4" a="1"/>
  <c r="G269" i="4" s="1"/>
  <c r="G270" i="4" a="1"/>
  <c r="G270" i="4" s="1"/>
  <c r="G271" i="4" a="1"/>
  <c r="G271" i="4" s="1"/>
  <c r="G272" i="4" a="1"/>
  <c r="G272" i="4" s="1"/>
  <c r="G273" i="4" a="1"/>
  <c r="G273" i="4"/>
  <c r="G274" i="4" a="1"/>
  <c r="G274" i="4"/>
  <c r="G275" i="4" a="1"/>
  <c r="G275" i="4"/>
  <c r="G276" i="4" a="1"/>
  <c r="G276" i="4"/>
  <c r="G277" i="4" a="1"/>
  <c r="G277" i="4" s="1"/>
  <c r="G278" i="4" a="1"/>
  <c r="G278" i="4" s="1"/>
  <c r="G279" i="4" a="1"/>
  <c r="G279" i="4"/>
  <c r="G280" i="4" a="1"/>
  <c r="G280" i="4"/>
  <c r="G281" i="4" a="1"/>
  <c r="G281" i="4"/>
  <c r="G282" i="4" a="1"/>
  <c r="G282" i="4"/>
  <c r="G283" i="4" a="1"/>
  <c r="G283" i="4"/>
  <c r="G284" i="4" a="1"/>
  <c r="G284" i="4"/>
  <c r="G285" i="4" a="1"/>
  <c r="G285" i="4" s="1"/>
  <c r="G286" i="4" a="1"/>
  <c r="G286" i="4" s="1"/>
  <c r="G287" i="4" a="1"/>
  <c r="G287" i="4"/>
  <c r="G288" i="4" a="1"/>
  <c r="G288" i="4" s="1"/>
  <c r="G289" i="4" a="1"/>
  <c r="G289" i="4" s="1"/>
  <c r="G290" i="4" a="1"/>
  <c r="G290" i="4"/>
  <c r="G291" i="4" a="1"/>
  <c r="G291" i="4"/>
  <c r="G292" i="4" a="1"/>
  <c r="G292" i="4"/>
  <c r="G293" i="4" a="1"/>
  <c r="G293" i="4"/>
  <c r="G294" i="4" a="1"/>
  <c r="G294" i="4" s="1"/>
  <c r="G295" i="4" a="1"/>
  <c r="G295" i="4" s="1"/>
  <c r="G296" i="4" a="1"/>
  <c r="G296" i="4"/>
  <c r="G297" i="4" a="1"/>
  <c r="G297" i="4"/>
  <c r="G298" i="4" a="1"/>
  <c r="G298" i="4"/>
  <c r="G299" i="4" a="1"/>
  <c r="G299" i="4"/>
  <c r="G300" i="4" a="1"/>
  <c r="G300" i="4"/>
  <c r="G301" i="4" a="1"/>
  <c r="G301" i="4"/>
  <c r="G302" i="4" a="1"/>
  <c r="G302" i="4" s="1"/>
  <c r="G303" i="4" a="1"/>
  <c r="G303" i="4" s="1"/>
  <c r="G304" i="4" a="1"/>
  <c r="G304" i="4"/>
  <c r="G305" i="4" a="1"/>
  <c r="G305" i="4" s="1"/>
  <c r="G306" i="4" a="1"/>
  <c r="G306" i="4" s="1"/>
  <c r="G307" i="4" a="1"/>
  <c r="G307" i="4"/>
  <c r="G308" i="4" a="1"/>
  <c r="G308" i="4"/>
  <c r="G309" i="4" a="1"/>
  <c r="G309" i="4"/>
  <c r="G310" i="4" a="1"/>
  <c r="G310" i="4" s="1"/>
  <c r="G311" i="4" a="1"/>
  <c r="G311" i="4" s="1"/>
  <c r="G312" i="4" a="1"/>
  <c r="G312" i="4" s="1"/>
  <c r="G313" i="4" a="1"/>
  <c r="G313" i="4"/>
  <c r="G314" i="4" a="1"/>
  <c r="G314" i="4"/>
  <c r="G315" i="4" a="1"/>
  <c r="G315" i="4"/>
  <c r="G316" i="4" a="1"/>
  <c r="G316" i="4"/>
  <c r="G317" i="4" a="1"/>
  <c r="G317" i="4"/>
  <c r="G318" i="4" a="1"/>
  <c r="G318" i="4" s="1"/>
  <c r="G319" i="4" a="1"/>
  <c r="G319" i="4"/>
  <c r="G320" i="4" a="1"/>
  <c r="G320" i="4" s="1"/>
  <c r="G321" i="4" a="1"/>
  <c r="G321" i="4"/>
  <c r="G322" i="4" a="1"/>
  <c r="G322" i="4" s="1"/>
  <c r="G323" i="4" a="1"/>
  <c r="G323" i="4" s="1"/>
  <c r="G324" i="4" a="1"/>
  <c r="G324" i="4"/>
  <c r="G325" i="4" a="1"/>
  <c r="G325" i="4"/>
  <c r="G326" i="4" a="1"/>
  <c r="G326" i="4" s="1"/>
  <c r="G327" i="4" a="1"/>
  <c r="G327" i="4"/>
  <c r="G328" i="4" a="1"/>
  <c r="G328" i="4" s="1"/>
  <c r="G329" i="4" a="1"/>
  <c r="G329" i="4" s="1"/>
  <c r="G330" i="4" a="1"/>
  <c r="G330" i="4"/>
  <c r="G331" i="4" a="1"/>
  <c r="G331" i="4"/>
  <c r="G332" i="4" a="1"/>
  <c r="G332" i="4"/>
  <c r="G333" i="4" a="1"/>
  <c r="G333" i="4"/>
  <c r="G334" i="4" a="1"/>
  <c r="G334" i="4" s="1"/>
  <c r="G335" i="4" a="1"/>
  <c r="G335" i="4"/>
  <c r="G336" i="4" a="1"/>
  <c r="G336" i="4"/>
  <c r="G337" i="4" a="1"/>
  <c r="G337" i="4" s="1"/>
  <c r="G338" i="4" a="1"/>
  <c r="G338" i="4"/>
  <c r="G339" i="4" a="1"/>
  <c r="G339" i="4" s="1"/>
  <c r="G340" i="4" a="1"/>
  <c r="G340" i="4" s="1"/>
  <c r="G341" i="4" a="1"/>
  <c r="G341" i="4"/>
  <c r="G342" i="4" a="1"/>
  <c r="G342" i="4" s="1"/>
  <c r="G343" i="4" a="1"/>
  <c r="G343" i="4"/>
  <c r="G344" i="4" a="1"/>
  <c r="G344" i="4"/>
  <c r="G345" i="4" a="1"/>
  <c r="G345" i="4" s="1"/>
  <c r="G346" i="4" a="1"/>
  <c r="G346" i="4" s="1"/>
  <c r="G347" i="4" a="1"/>
  <c r="G347" i="4"/>
  <c r="G348" i="4" a="1"/>
  <c r="G348" i="4"/>
  <c r="G349" i="4" a="1"/>
  <c r="G349" i="4"/>
  <c r="G350" i="4" a="1"/>
  <c r="G350" i="4" s="1"/>
  <c r="G351" i="4" a="1"/>
  <c r="G351" i="4"/>
  <c r="G352" i="4" a="1"/>
  <c r="G352" i="4"/>
  <c r="G353" i="4" a="1"/>
  <c r="G353" i="4"/>
  <c r="G354" i="4" a="1"/>
  <c r="G354" i="4" s="1"/>
  <c r="G355" i="4" a="1"/>
  <c r="G355" i="4"/>
  <c r="G356" i="4" a="1"/>
  <c r="G356" i="4" s="1"/>
  <c r="G357" i="4" a="1"/>
  <c r="G357" i="4" s="1"/>
  <c r="G358" i="4" a="1"/>
  <c r="G358" i="4" s="1"/>
  <c r="G359" i="4" a="1"/>
  <c r="G359" i="4"/>
  <c r="G360" i="4" a="1"/>
  <c r="G360" i="4"/>
  <c r="G361" i="4" a="1"/>
  <c r="G361" i="4"/>
  <c r="G362" i="4" a="1"/>
  <c r="G362" i="4" s="1"/>
  <c r="G363" i="4" a="1"/>
  <c r="G363" i="4" s="1"/>
  <c r="G364" i="4" a="1"/>
  <c r="G364" i="4"/>
  <c r="G365" i="4" a="1"/>
  <c r="G365" i="4"/>
  <c r="G366" i="4" a="1"/>
  <c r="G366" i="4" s="1"/>
  <c r="G367" i="4" a="1"/>
  <c r="G367" i="4"/>
  <c r="G368" i="4" a="1"/>
  <c r="G368" i="4"/>
  <c r="G369" i="4" a="1"/>
  <c r="G369" i="4"/>
  <c r="G370" i="4" a="1"/>
  <c r="G370" i="4"/>
  <c r="G371" i="4" a="1"/>
  <c r="G371" i="4" s="1"/>
  <c r="G372" i="4" a="1"/>
  <c r="G372" i="4"/>
  <c r="G373" i="4" a="1"/>
  <c r="G373" i="4" s="1"/>
  <c r="G374" i="4" a="1"/>
  <c r="G374" i="4" s="1"/>
  <c r="G375" i="4" a="1"/>
  <c r="G375" i="4"/>
  <c r="G376" i="4" a="1"/>
  <c r="G376" i="4"/>
  <c r="G377" i="4" a="1"/>
  <c r="G377" i="4"/>
  <c r="G378" i="4" a="1"/>
  <c r="G378" i="4"/>
  <c r="G379" i="4" a="1"/>
  <c r="G379" i="4" s="1"/>
  <c r="G380" i="4" a="1"/>
  <c r="G380" i="4" s="1"/>
  <c r="G381" i="4" a="1"/>
  <c r="G381" i="4"/>
  <c r="G382" i="4" a="1"/>
  <c r="G382" i="4" s="1"/>
  <c r="G383" i="4" a="1"/>
  <c r="G383" i="4" s="1"/>
  <c r="G384" i="4" a="1"/>
  <c r="G384" i="4"/>
  <c r="G385" i="4" a="1"/>
  <c r="G385" i="4"/>
  <c r="G386" i="4" a="1"/>
  <c r="G386" i="4"/>
  <c r="G387" i="4" a="1"/>
  <c r="G387" i="4"/>
  <c r="G388" i="4" a="1"/>
  <c r="G388" i="4" s="1"/>
  <c r="G389" i="4" a="1"/>
  <c r="G389" i="4"/>
  <c r="G390" i="4" a="1"/>
  <c r="G390" i="4" s="1"/>
  <c r="G391" i="4" a="1"/>
  <c r="G391" i="4"/>
  <c r="G392" i="4" a="1"/>
  <c r="G392" i="4"/>
  <c r="G393" i="4" a="1"/>
  <c r="G393" i="4"/>
  <c r="G394" i="4" a="1"/>
  <c r="G394" i="4"/>
  <c r="G395" i="4" a="1"/>
  <c r="G395" i="4"/>
  <c r="G396" i="4" a="1"/>
  <c r="G396" i="4" s="1"/>
  <c r="G397" i="4" a="1"/>
  <c r="G397" i="4" s="1"/>
  <c r="G398" i="4" a="1"/>
  <c r="G398" i="4" s="1"/>
  <c r="G399" i="4" a="1"/>
  <c r="G399" i="4" s="1"/>
  <c r="G400" i="4" a="1"/>
  <c r="G400" i="4" s="1"/>
  <c r="G401" i="4" a="1"/>
  <c r="G401" i="4"/>
  <c r="G402" i="4" a="1"/>
  <c r="G402" i="4"/>
  <c r="G403" i="4" a="1"/>
  <c r="G403" i="4"/>
  <c r="G404" i="4" a="1"/>
  <c r="G404" i="4"/>
  <c r="G405" i="4" a="1"/>
  <c r="G405" i="4" s="1"/>
  <c r="G406" i="4" a="1"/>
  <c r="G406" i="4" s="1"/>
  <c r="G407" i="4" a="1"/>
  <c r="G407" i="4"/>
  <c r="G408" i="4" a="1"/>
  <c r="G408" i="4"/>
  <c r="G409" i="4" a="1"/>
  <c r="G409" i="4"/>
  <c r="G410" i="4" a="1"/>
  <c r="G410" i="4"/>
  <c r="G411" i="4" a="1"/>
  <c r="G411" i="4"/>
  <c r="G412" i="4" a="1"/>
  <c r="G412" i="4"/>
  <c r="G413" i="4" a="1"/>
  <c r="G413" i="4" s="1"/>
  <c r="G414" i="4" a="1"/>
  <c r="G414" i="4" s="1"/>
  <c r="G415" i="4" a="1"/>
  <c r="G415" i="4"/>
  <c r="G416" i="4" a="1"/>
  <c r="G416" i="4" s="1"/>
  <c r="G417" i="4" a="1"/>
  <c r="G417" i="4" s="1"/>
  <c r="G418" i="4" a="1"/>
  <c r="G418" i="4"/>
  <c r="G419" i="4" a="1"/>
  <c r="G419" i="4"/>
  <c r="G420" i="4" a="1"/>
  <c r="G420" i="4"/>
  <c r="G421" i="4" a="1"/>
  <c r="G421" i="4"/>
  <c r="G422" i="4" a="1"/>
  <c r="G422" i="4" s="1"/>
  <c r="G423" i="4" a="1"/>
  <c r="G423" i="4" s="1"/>
  <c r="G424" i="4" a="1"/>
  <c r="G424" i="4"/>
  <c r="G425" i="4" a="1"/>
  <c r="G425" i="4"/>
  <c r="G426" i="4" a="1"/>
  <c r="G426" i="4"/>
  <c r="G427" i="4" a="1"/>
  <c r="G427" i="4"/>
  <c r="G428" i="4" a="1"/>
  <c r="G428" i="4"/>
  <c r="G429" i="4" a="1"/>
  <c r="G429" i="4"/>
  <c r="G430" i="4" a="1"/>
  <c r="G430" i="4" s="1"/>
  <c r="G431" i="4" a="1"/>
  <c r="G431" i="4" s="1"/>
  <c r="G432" i="4" a="1"/>
  <c r="G432" i="4"/>
  <c r="G433" i="4" a="1"/>
  <c r="G433" i="4" s="1"/>
  <c r="G434" i="4" a="1"/>
  <c r="G434" i="4" s="1"/>
  <c r="G435" i="4" a="1"/>
  <c r="G435" i="4"/>
  <c r="G436" i="4" a="1"/>
  <c r="G436" i="4"/>
  <c r="G437" i="4" a="1"/>
  <c r="G437" i="4"/>
  <c r="G438" i="4" a="1"/>
  <c r="G438" i="4" s="1"/>
  <c r="G439" i="4" a="1"/>
  <c r="G439" i="4" s="1"/>
  <c r="G440" i="4" a="1"/>
  <c r="G440" i="4" s="1"/>
  <c r="G441" i="4" a="1"/>
  <c r="G441" i="4"/>
  <c r="G442" i="4" a="1"/>
  <c r="G442" i="4"/>
  <c r="G443" i="4" a="1"/>
  <c r="G443" i="4"/>
  <c r="G444" i="4" a="1"/>
  <c r="G444" i="4"/>
  <c r="G445" i="4" a="1"/>
  <c r="G445" i="4"/>
  <c r="G446" i="4" a="1"/>
  <c r="G446" i="4" s="1"/>
  <c r="G447" i="4" a="1"/>
  <c r="G447" i="4"/>
  <c r="G448" i="4" a="1"/>
  <c r="G448" i="4" s="1"/>
  <c r="G449" i="4" a="1"/>
  <c r="G449" i="4"/>
  <c r="G450" i="4" a="1"/>
  <c r="G450" i="4" s="1"/>
  <c r="G451" i="4" a="1"/>
  <c r="G451" i="4" s="1"/>
  <c r="G452" i="4" a="1"/>
  <c r="G452" i="4"/>
  <c r="G453" i="4" a="1"/>
  <c r="G453" i="4"/>
  <c r="G454" i="4" a="1"/>
  <c r="G454" i="4" s="1"/>
  <c r="G455" i="4" a="1"/>
  <c r="G455" i="4"/>
  <c r="G456" i="4" a="1"/>
  <c r="G456" i="4" s="1"/>
  <c r="G457" i="4" a="1"/>
  <c r="G457" i="4" s="1"/>
  <c r="G458" i="4" a="1"/>
  <c r="G458" i="4"/>
  <c r="G459" i="4" a="1"/>
  <c r="G459" i="4"/>
  <c r="G460" i="4" a="1"/>
  <c r="G460" i="4"/>
  <c r="G461" i="4" a="1"/>
  <c r="G461" i="4"/>
  <c r="G462" i="4" a="1"/>
  <c r="G462" i="4" s="1"/>
  <c r="G463" i="4" a="1"/>
  <c r="G463" i="4"/>
  <c r="G464" i="4" a="1"/>
  <c r="G464" i="4"/>
  <c r="G465" i="4" a="1"/>
  <c r="G465" i="4" s="1"/>
  <c r="G466" i="4" a="1"/>
  <c r="G466" i="4"/>
  <c r="G467" i="4" a="1"/>
  <c r="G467" i="4" s="1"/>
  <c r="G468" i="4" a="1"/>
  <c r="G468" i="4" s="1"/>
  <c r="G469" i="4" a="1"/>
  <c r="G469" i="4"/>
  <c r="G470" i="4" a="1"/>
  <c r="G470" i="4" s="1"/>
  <c r="G471" i="4" a="1"/>
  <c r="G471" i="4"/>
  <c r="G472" i="4" a="1"/>
  <c r="G472" i="4"/>
  <c r="G473" i="4" a="1"/>
  <c r="G473" i="4" s="1"/>
  <c r="G474" i="4" a="1"/>
  <c r="G474" i="4" s="1"/>
  <c r="G475" i="4" a="1"/>
  <c r="G475" i="4"/>
  <c r="G476" i="4" a="1"/>
  <c r="G476" i="4"/>
  <c r="G477" i="4" a="1"/>
  <c r="G477" i="4"/>
  <c r="G478" i="4" a="1"/>
  <c r="G478" i="4" s="1"/>
  <c r="G479" i="4" a="1"/>
  <c r="G479" i="4"/>
  <c r="G480" i="4" a="1"/>
  <c r="G480" i="4"/>
  <c r="G481" i="4" a="1"/>
  <c r="G481" i="4"/>
  <c r="G482" i="4" a="1"/>
  <c r="G482" i="4" s="1"/>
  <c r="G483" i="4" a="1"/>
  <c r="G483" i="4"/>
  <c r="G484" i="4" a="1"/>
  <c r="G484" i="4" s="1"/>
  <c r="G485" i="4" a="1"/>
  <c r="G485" i="4" s="1"/>
  <c r="G486" i="4" a="1"/>
  <c r="G486" i="4" s="1"/>
  <c r="G487" i="4" a="1"/>
  <c r="G487" i="4"/>
  <c r="G488" i="4" a="1"/>
  <c r="G488" i="4"/>
  <c r="G489" i="4" a="1"/>
  <c r="G489" i="4"/>
  <c r="G490" i="4" a="1"/>
  <c r="G490" i="4" s="1"/>
  <c r="G491" i="4" a="1"/>
  <c r="G491" i="4" s="1"/>
  <c r="G492" i="4" a="1"/>
  <c r="G492" i="4"/>
  <c r="G493" i="4" a="1"/>
  <c r="G493" i="4"/>
  <c r="G494" i="4" a="1"/>
  <c r="G494" i="4" s="1"/>
  <c r="G495" i="4" a="1"/>
  <c r="G495" i="4"/>
  <c r="G496" i="4" a="1"/>
  <c r="G496" i="4"/>
  <c r="G497" i="4" a="1"/>
  <c r="G497" i="4"/>
  <c r="G498" i="4" a="1"/>
  <c r="G498" i="4"/>
  <c r="G499" i="4" a="1"/>
  <c r="G499" i="4" s="1"/>
  <c r="G500" i="4" a="1"/>
  <c r="G500" i="4"/>
  <c r="G501" i="4" a="1"/>
  <c r="G501" i="4" s="1"/>
  <c r="G502" i="4" a="1"/>
  <c r="G502" i="4" s="1"/>
  <c r="G503" i="4" a="1"/>
  <c r="G503" i="4"/>
  <c r="G504" i="4" a="1"/>
  <c r="G504" i="4"/>
  <c r="G505" i="4" a="1"/>
  <c r="G505" i="4"/>
  <c r="G506" i="4" a="1"/>
  <c r="G506" i="4"/>
  <c r="G507" i="4" a="1"/>
  <c r="G507" i="4" s="1"/>
  <c r="G508" i="4" a="1"/>
  <c r="G508" i="4" s="1"/>
  <c r="G509" i="4" a="1"/>
  <c r="G509" i="4"/>
  <c r="G510" i="4" a="1"/>
  <c r="G510" i="4" s="1"/>
  <c r="G511" i="4" a="1"/>
  <c r="G511" i="4" s="1"/>
  <c r="G512" i="4" a="1"/>
  <c r="G512" i="4"/>
  <c r="G513" i="4" a="1"/>
  <c r="G513" i="4"/>
  <c r="G514" i="4" a="1"/>
  <c r="G514" i="4"/>
  <c r="G515" i="4" a="1"/>
  <c r="G515" i="4"/>
  <c r="G516" i="4" a="1"/>
  <c r="G516" i="4" s="1"/>
  <c r="G517" i="4" a="1"/>
  <c r="G517" i="4"/>
  <c r="G518" i="4" a="1"/>
  <c r="G518" i="4" s="1"/>
  <c r="G519" i="4" a="1"/>
  <c r="G519" i="4"/>
  <c r="G520" i="4" a="1"/>
  <c r="G520" i="4"/>
  <c r="G521" i="4" a="1"/>
  <c r="G521" i="4"/>
  <c r="G522" i="4" a="1"/>
  <c r="G522" i="4"/>
  <c r="G523" i="4" a="1"/>
  <c r="G523" i="4"/>
  <c r="G524" i="4" a="1"/>
  <c r="G524" i="4" s="1"/>
  <c r="G525" i="4" a="1"/>
  <c r="G525" i="4" s="1"/>
  <c r="G526" i="4" a="1"/>
  <c r="G526" i="4" s="1"/>
  <c r="G527" i="4" a="1"/>
  <c r="G527" i="4" s="1"/>
  <c r="G528" i="4" a="1"/>
  <c r="G528" i="4" s="1"/>
  <c r="G529" i="4" a="1"/>
  <c r="G529" i="4"/>
  <c r="G530" i="4" a="1"/>
  <c r="G530" i="4"/>
  <c r="G531" i="4" a="1"/>
  <c r="G531" i="4"/>
  <c r="G532" i="4" a="1"/>
  <c r="G532" i="4"/>
  <c r="G533" i="4" a="1"/>
  <c r="G533" i="4" s="1"/>
  <c r="G534" i="4" a="1"/>
  <c r="G534" i="4" s="1"/>
  <c r="G535" i="4" a="1"/>
  <c r="G535" i="4"/>
  <c r="G536" i="4" a="1"/>
  <c r="G536" i="4"/>
  <c r="G537" i="4" a="1"/>
  <c r="G537" i="4"/>
  <c r="G538" i="4" a="1"/>
  <c r="G538" i="4"/>
  <c r="G539" i="4" a="1"/>
  <c r="G539" i="4"/>
  <c r="G540" i="4" a="1"/>
  <c r="G540" i="4"/>
  <c r="G541" i="4" a="1"/>
  <c r="G541" i="4" s="1"/>
  <c r="G542" i="4" a="1"/>
  <c r="G542" i="4" s="1"/>
  <c r="G543" i="4" a="1"/>
  <c r="G543" i="4"/>
  <c r="G544" i="4" a="1"/>
  <c r="G544" i="4" s="1"/>
  <c r="G545" i="4" a="1"/>
  <c r="G545" i="4" s="1"/>
  <c r="G546" i="4" a="1"/>
  <c r="G546" i="4"/>
  <c r="G547" i="4" a="1"/>
  <c r="G547" i="4"/>
  <c r="G548" i="4" a="1"/>
  <c r="G548" i="4"/>
  <c r="G549" i="4" a="1"/>
  <c r="G549" i="4"/>
  <c r="G550" i="4" a="1"/>
  <c r="G550" i="4" s="1"/>
  <c r="G551" i="4" a="1"/>
  <c r="G551" i="4" s="1"/>
  <c r="G552" i="4" a="1"/>
  <c r="G552" i="4"/>
  <c r="G553" i="4" a="1"/>
  <c r="G553" i="4"/>
  <c r="G554" i="4" a="1"/>
  <c r="G554" i="4"/>
  <c r="G555" i="4" a="1"/>
  <c r="G555" i="4"/>
  <c r="G556" i="4" a="1"/>
  <c r="G556" i="4"/>
  <c r="G557" i="4" a="1"/>
  <c r="G557" i="4"/>
  <c r="G558" i="4" a="1"/>
  <c r="G558" i="4" s="1"/>
  <c r="G559" i="4" a="1"/>
  <c r="G559" i="4" s="1"/>
  <c r="G560" i="4" a="1"/>
  <c r="G560" i="4"/>
  <c r="G561" i="4" a="1"/>
  <c r="G561" i="4" s="1"/>
  <c r="G562" i="4" a="1"/>
  <c r="G562" i="4" s="1"/>
  <c r="G563" i="4" a="1"/>
  <c r="G563" i="4"/>
  <c r="G564" i="4" a="1"/>
  <c r="G564" i="4"/>
  <c r="G565" i="4" a="1"/>
  <c r="G565" i="4"/>
  <c r="G566" i="4" a="1"/>
  <c r="G566" i="4" s="1"/>
  <c r="G567" i="4" a="1"/>
  <c r="G567" i="4" s="1"/>
  <c r="G568" i="4" a="1"/>
  <c r="G568" i="4" s="1"/>
  <c r="G569" i="4" a="1"/>
  <c r="G569" i="4"/>
  <c r="G570" i="4" a="1"/>
  <c r="G570" i="4"/>
  <c r="G571" i="4" a="1"/>
  <c r="G571" i="4"/>
  <c r="G572" i="4" a="1"/>
  <c r="G572" i="4"/>
  <c r="G573" i="4" a="1"/>
  <c r="G573" i="4"/>
  <c r="G574" i="4" a="1"/>
  <c r="G574" i="4" s="1"/>
  <c r="G575" i="4" a="1"/>
  <c r="G575" i="4"/>
  <c r="G576" i="4" a="1"/>
  <c r="G576" i="4" s="1"/>
  <c r="G577" i="4" a="1"/>
  <c r="G577" i="4"/>
  <c r="G578" i="4" a="1"/>
  <c r="G578" i="4" s="1"/>
  <c r="G579" i="4" a="1"/>
  <c r="G579" i="4" s="1"/>
  <c r="G580" i="4" a="1"/>
  <c r="G580" i="4"/>
  <c r="G581" i="4" a="1"/>
  <c r="G581" i="4"/>
  <c r="G582" i="4" a="1"/>
  <c r="G582" i="4" s="1"/>
  <c r="G583" i="4" a="1"/>
  <c r="G583" i="4" s="1"/>
  <c r="G584" i="4" a="1"/>
  <c r="G584" i="4" s="1"/>
  <c r="G585" i="4" a="1"/>
  <c r="G585" i="4" s="1"/>
  <c r="G586" i="4" a="1"/>
  <c r="G586" i="4"/>
  <c r="G587" i="4" a="1"/>
  <c r="G587" i="4"/>
  <c r="G588" i="4" a="1"/>
  <c r="G588" i="4"/>
  <c r="G589" i="4" a="1"/>
  <c r="G589" i="4"/>
  <c r="G590" i="4" a="1"/>
  <c r="G590" i="4" s="1"/>
  <c r="G591" i="4" a="1"/>
  <c r="G591" i="4"/>
  <c r="G592" i="4" a="1"/>
  <c r="G592" i="4"/>
  <c r="G593" i="4" a="1"/>
  <c r="G593" i="4" s="1"/>
  <c r="G594" i="4" a="1"/>
  <c r="G594" i="4"/>
  <c r="G595" i="4" a="1"/>
  <c r="G595" i="4" s="1"/>
  <c r="G596" i="4" a="1"/>
  <c r="G596" i="4" s="1"/>
  <c r="G597" i="4" a="1"/>
  <c r="G597" i="4"/>
  <c r="G598" i="4" a="1"/>
  <c r="G598" i="4" s="1"/>
  <c r="G599" i="4" a="1"/>
  <c r="G599" i="4"/>
  <c r="G600" i="4" a="1"/>
  <c r="G600" i="4"/>
  <c r="G601" i="4" a="1"/>
  <c r="G601" i="4" s="1"/>
  <c r="G602" i="4" a="1"/>
  <c r="G602" i="4" s="1"/>
  <c r="G603" i="4" a="1"/>
  <c r="G603" i="4"/>
  <c r="G604" i="4" a="1"/>
  <c r="G604" i="4"/>
  <c r="G605" i="4" a="1"/>
  <c r="G605" i="4"/>
  <c r="G606" i="4" a="1"/>
  <c r="G606" i="4" s="1"/>
  <c r="G607" i="4" a="1"/>
  <c r="G607" i="4"/>
  <c r="G608" i="4" a="1"/>
  <c r="G608" i="4"/>
  <c r="G609" i="4" a="1"/>
  <c r="G609" i="4"/>
  <c r="G610" i="4" a="1"/>
  <c r="G610" i="4" s="1"/>
  <c r="G611" i="4" a="1"/>
  <c r="G611" i="4"/>
  <c r="G612" i="4" a="1"/>
  <c r="G612" i="4" s="1"/>
  <c r="G613" i="4" a="1"/>
  <c r="G613" i="4" s="1"/>
  <c r="G614" i="4" a="1"/>
  <c r="G614" i="4" s="1"/>
  <c r="G615" i="4" a="1"/>
  <c r="G615" i="4"/>
  <c r="G616" i="4" a="1"/>
  <c r="G616" i="4"/>
  <c r="G617" i="4" a="1"/>
  <c r="G617" i="4"/>
  <c r="G618" i="4" a="1"/>
  <c r="G618" i="4" s="1"/>
  <c r="G619" i="4" a="1"/>
  <c r="G619" i="4" s="1"/>
  <c r="G620" i="4" a="1"/>
  <c r="G620" i="4"/>
  <c r="G621" i="4" a="1"/>
  <c r="G621" i="4"/>
  <c r="G622" i="4" a="1"/>
  <c r="G622" i="4" s="1"/>
  <c r="G623" i="4" a="1"/>
  <c r="G623" i="4"/>
  <c r="G624" i="4" a="1"/>
  <c r="G624" i="4"/>
  <c r="G625" i="4" a="1"/>
  <c r="G625" i="4"/>
  <c r="G626" i="4" a="1"/>
  <c r="G626" i="4"/>
  <c r="G627" i="4" a="1"/>
  <c r="G627" i="4" s="1"/>
  <c r="G628" i="4" a="1"/>
  <c r="G628" i="4"/>
  <c r="G629" i="4" a="1"/>
  <c r="G629" i="4" s="1"/>
  <c r="G630" i="4" a="1"/>
  <c r="G630" i="4" s="1"/>
  <c r="G631" i="4" a="1"/>
  <c r="G631" i="4"/>
  <c r="G632" i="4" a="1"/>
  <c r="G632" i="4"/>
  <c r="G633" i="4" a="1"/>
  <c r="G633" i="4"/>
  <c r="G634" i="4" a="1"/>
  <c r="G634" i="4"/>
  <c r="G635" i="4" a="1"/>
  <c r="G635" i="4" s="1"/>
  <c r="G636" i="4" a="1"/>
  <c r="G636" i="4" s="1"/>
  <c r="G637" i="4" a="1"/>
  <c r="G637" i="4"/>
  <c r="G638" i="4" a="1"/>
  <c r="G638" i="4" s="1"/>
  <c r="G639" i="4" a="1"/>
  <c r="G639" i="4" s="1"/>
  <c r="G640" i="4" a="1"/>
  <c r="G640" i="4"/>
  <c r="G641" i="4" a="1"/>
  <c r="G641" i="4"/>
  <c r="G642" i="4" a="1"/>
  <c r="G642" i="4"/>
  <c r="G643" i="4" a="1"/>
  <c r="G643" i="4"/>
  <c r="G644" i="4" a="1"/>
  <c r="G644" i="4" s="1"/>
  <c r="G645" i="4" a="1"/>
  <c r="G645" i="4"/>
  <c r="G646" i="4" a="1"/>
  <c r="G646" i="4" s="1"/>
  <c r="G647" i="4" a="1"/>
  <c r="G647" i="4"/>
  <c r="G648" i="4" a="1"/>
  <c r="G648" i="4"/>
  <c r="G649" i="4" a="1"/>
  <c r="G649" i="4"/>
  <c r="G650" i="4" a="1"/>
  <c r="G650" i="4"/>
  <c r="G651" i="4" a="1"/>
  <c r="G651" i="4"/>
  <c r="G652" i="4" a="1"/>
  <c r="G652" i="4" s="1"/>
  <c r="G653" i="4" a="1"/>
  <c r="G653" i="4" s="1"/>
  <c r="G654" i="4" a="1"/>
  <c r="G654" i="4" s="1"/>
  <c r="G655" i="4" a="1"/>
  <c r="G655" i="4" s="1"/>
  <c r="G656" i="4" a="1"/>
  <c r="G656" i="4" s="1"/>
  <c r="G657" i="4" a="1"/>
  <c r="G657" i="4"/>
  <c r="G658" i="4" a="1"/>
  <c r="G658" i="4"/>
  <c r="G659" i="4" a="1"/>
  <c r="G659" i="4"/>
  <c r="G660" i="4" a="1"/>
  <c r="G660" i="4"/>
  <c r="G661" i="4" a="1"/>
  <c r="G661" i="4" s="1"/>
  <c r="G662" i="4" a="1"/>
  <c r="G662" i="4" s="1"/>
  <c r="G663" i="4" a="1"/>
  <c r="G663" i="4"/>
  <c r="G664" i="4" a="1"/>
  <c r="G664" i="4"/>
  <c r="G665" i="4" a="1"/>
  <c r="G665" i="4"/>
  <c r="G666" i="4" a="1"/>
  <c r="G666" i="4"/>
  <c r="G667" i="4" a="1"/>
  <c r="G667" i="4"/>
  <c r="G668" i="4" a="1"/>
  <c r="G668" i="4"/>
  <c r="G669" i="4" a="1"/>
  <c r="G669" i="4" s="1"/>
  <c r="G670" i="4" a="1"/>
  <c r="G670" i="4" s="1"/>
  <c r="G671" i="4" a="1"/>
  <c r="G671" i="4"/>
  <c r="G672" i="4" a="1"/>
  <c r="G672" i="4" s="1"/>
  <c r="G673" i="4" a="1"/>
  <c r="G673" i="4" s="1"/>
  <c r="G674" i="4" a="1"/>
  <c r="G674" i="4"/>
  <c r="G675" i="4" a="1"/>
  <c r="G675" i="4"/>
  <c r="G676" i="4" a="1"/>
  <c r="G676" i="4"/>
  <c r="G677" i="4" a="1"/>
  <c r="G677" i="4"/>
  <c r="G678" i="4" a="1"/>
  <c r="G678" i="4" s="1"/>
  <c r="G679" i="4" a="1"/>
  <c r="G679" i="4" s="1"/>
  <c r="G680" i="4" a="1"/>
  <c r="G680" i="4"/>
  <c r="G681" i="4" a="1"/>
  <c r="G681" i="4"/>
  <c r="G682" i="4" a="1"/>
  <c r="G682" i="4"/>
  <c r="G683" i="4" a="1"/>
  <c r="G683" i="4"/>
  <c r="G684" i="4" a="1"/>
  <c r="G684" i="4"/>
  <c r="G685" i="4" a="1"/>
  <c r="G685" i="4"/>
  <c r="G686" i="4" a="1"/>
  <c r="G686" i="4" s="1"/>
  <c r="G687" i="4" a="1"/>
  <c r="G687" i="4" s="1"/>
  <c r="G688" i="4" a="1"/>
  <c r="G688" i="4"/>
  <c r="G689" i="4" a="1"/>
  <c r="G689" i="4"/>
  <c r="G690" i="4" a="1"/>
  <c r="G690" i="4"/>
  <c r="G691" i="4" a="1"/>
  <c r="G691" i="4"/>
  <c r="G692" i="4" a="1"/>
  <c r="G692" i="4"/>
  <c r="E27" i="3" a="1"/>
  <c r="E27" i="3" s="1"/>
  <c r="E32" i="3" a="1"/>
  <c r="E32" i="3" s="1"/>
  <c r="F23" i="3"/>
  <c r="G10" i="3" a="1"/>
  <c r="G10" i="3" s="1"/>
  <c r="E53" i="2" l="1"/>
  <c r="E52" i="2"/>
  <c r="E51" i="2"/>
  <c r="E50" i="2"/>
  <c r="D50" i="2"/>
  <c r="C50" i="2"/>
  <c r="D51" i="2"/>
  <c r="D52" i="2"/>
  <c r="D53" i="2"/>
  <c r="C51" i="2"/>
  <c r="C52" i="2"/>
  <c r="C53" i="2"/>
  <c r="G51" i="2"/>
  <c r="G52" i="2"/>
  <c r="G50" i="2"/>
  <c r="F51" i="2"/>
  <c r="F52" i="2"/>
  <c r="F50" i="2"/>
  <c r="E45" i="2"/>
  <c r="C45" i="2" s="1"/>
  <c r="D45" i="2" s="1"/>
  <c r="E46" i="2"/>
  <c r="C46" i="2" s="1"/>
  <c r="D46" i="2" s="1"/>
  <c r="E44" i="2"/>
  <c r="C44" i="2" s="1"/>
  <c r="D44" i="2" s="1"/>
  <c r="C30" i="2"/>
  <c r="C32" i="2" s="1"/>
  <c r="C34" i="2" s="1"/>
  <c r="G25" i="2"/>
  <c r="F25" i="2"/>
  <c r="E25" i="2"/>
  <c r="D25" i="2"/>
  <c r="D63" i="1" l="1" a="1"/>
  <c r="D63" i="1" s="1"/>
  <c r="D61" i="1"/>
  <c r="C32" i="1"/>
  <c r="C33" i="1"/>
  <c r="C34" i="1"/>
  <c r="C35" i="1"/>
  <c r="C36" i="1"/>
  <c r="C37" i="1"/>
  <c r="C31" i="1"/>
  <c r="E33" i="1"/>
  <c r="E34" i="1" a="1"/>
  <c r="E34" i="1" s="1"/>
  <c r="E32" i="1"/>
  <c r="E31" i="1"/>
  <c r="D3" i="1" l="1"/>
  <c r="D4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<sst xmlns="http://schemas.openxmlformats.org/spreadsheetml/2006/main" count="5980" uniqueCount="331">
  <si>
    <t>order_id</t>
  </si>
  <si>
    <t>IND-123456-2012</t>
  </si>
  <si>
    <t>IND-12345-2012</t>
  </si>
  <si>
    <t>CA-321456-2013</t>
  </si>
  <si>
    <t>COUNTRY</t>
  </si>
  <si>
    <t>YEARS</t>
  </si>
  <si>
    <t>IDS</t>
  </si>
  <si>
    <t>TEXT TO COLUMN</t>
  </si>
  <si>
    <t>IND</t>
  </si>
  <si>
    <t>CA</t>
  </si>
  <si>
    <t>PLAYERS NAME</t>
  </si>
  <si>
    <t>ROHIT SHARMA JERSEY45</t>
  </si>
  <si>
    <t>KL RAHUL JERSEY1</t>
  </si>
  <si>
    <t>JSPREET BUMRAH JERSEY93</t>
  </si>
  <si>
    <t>PRITHVI SHAW JERSEY100</t>
  </si>
  <si>
    <t>MAHENDRA SINGH DHONI JERSEY07</t>
  </si>
  <si>
    <t>FIRST</t>
  </si>
  <si>
    <t>MIDDLE</t>
  </si>
  <si>
    <t>LAST</t>
  </si>
  <si>
    <t>JERSEY</t>
  </si>
  <si>
    <t>age</t>
  </si>
  <si>
    <t>Twenty</t>
  </si>
  <si>
    <t>gender</t>
  </si>
  <si>
    <t>female</t>
  </si>
  <si>
    <t>male</t>
  </si>
  <si>
    <t>aggregate function</t>
  </si>
  <si>
    <t>1.small and large</t>
  </si>
  <si>
    <t>max sales?</t>
  </si>
  <si>
    <t>2nd highest sales</t>
  </si>
  <si>
    <t>4th bottom sales</t>
  </si>
  <si>
    <t>2,3,4th highest sales</t>
  </si>
  <si>
    <t>sales</t>
  </si>
  <si>
    <t>top3</t>
  </si>
  <si>
    <t>add column which denotes weather the sales is part of top3 or not</t>
  </si>
  <si>
    <t>1.find 3rd highest value</t>
  </si>
  <si>
    <t>2.compare each sales with this 3rd higest</t>
  </si>
  <si>
    <t>descriptive analysis</t>
  </si>
  <si>
    <t>it includes:</t>
  </si>
  <si>
    <t>sum,count,counta,max,min,average,small,large,std dev</t>
  </si>
  <si>
    <t>reverse lookup function:</t>
  </si>
  <si>
    <t>to handle limitation  of vlookup,hlookup,we have:</t>
  </si>
  <si>
    <t>i.index() &amp; match()</t>
  </si>
  <si>
    <t>ii.xlookup()</t>
  </si>
  <si>
    <t>iii..vlookup() &amp;choose()</t>
  </si>
  <si>
    <t>index()--&gt;array function | match()--&gt;lookup function</t>
  </si>
  <si>
    <t>vlookup--&gt;lookup function|choose()--&gt;array function</t>
  </si>
  <si>
    <t>Maharashtra</t>
  </si>
  <si>
    <t>Gujarat</t>
  </si>
  <si>
    <t>City Code</t>
  </si>
  <si>
    <t>State</t>
  </si>
  <si>
    <t>Cities</t>
  </si>
  <si>
    <t>Population in 2011 (in mn)</t>
  </si>
  <si>
    <t>C1</t>
  </si>
  <si>
    <t>Mumbai</t>
  </si>
  <si>
    <t>C2</t>
  </si>
  <si>
    <t>Delhi</t>
  </si>
  <si>
    <t>C3</t>
  </si>
  <si>
    <t>Ahmedabad</t>
  </si>
  <si>
    <t>C4</t>
  </si>
  <si>
    <t>West Bengal</t>
  </si>
  <si>
    <t>Kolkata</t>
  </si>
  <si>
    <t>C5</t>
  </si>
  <si>
    <t>Surat</t>
  </si>
  <si>
    <t>C6</t>
  </si>
  <si>
    <t>Pune</t>
  </si>
  <si>
    <t>C7</t>
  </si>
  <si>
    <t>Rajasthan</t>
  </si>
  <si>
    <t>Jaipur</t>
  </si>
  <si>
    <t>match()-- display the row number snd column number of a table</t>
  </si>
  <si>
    <t>index()--it returns the vaue of intersection of a row_num &amp; col_num</t>
  </si>
  <si>
    <t>ques 1--in which row the city code c7 is available</t>
  </si>
  <si>
    <t>ques 2--in whih column the ddata for city names is stored?</t>
  </si>
  <si>
    <t>ques 3--display "pune"</t>
  </si>
  <si>
    <t>ques 4--what is the city name for city code c5</t>
  </si>
  <si>
    <t>vlookup</t>
  </si>
  <si>
    <t>NUMBER FORMATTING</t>
  </si>
  <si>
    <t>USE TWO SYMBOL--0,#</t>
  </si>
  <si>
    <t>EXAMPLE</t>
  </si>
  <si>
    <t>SALES</t>
  </si>
  <si>
    <t>6.8K</t>
  </si>
  <si>
    <t>2.3K</t>
  </si>
  <si>
    <t xml:space="preserve"> </t>
  </si>
  <si>
    <t>CONDITIONAL FORMATTING</t>
  </si>
  <si>
    <t>**SELECT THE DATA WITHOUT HEADERS ALWAYS.</t>
  </si>
  <si>
    <t>( USED IN NUMBER FORMATTING WHEN WE NEED TO APPLY 3 CONDITIONS AT ONCE.)</t>
  </si>
  <si>
    <t>DATE AND TIME FORMATTINGS:</t>
  </si>
  <si>
    <t>CALL START</t>
  </si>
  <si>
    <t>CALL END</t>
  </si>
  <si>
    <t>DAYS</t>
  </si>
  <si>
    <t>HOURS</t>
  </si>
  <si>
    <t>MINUTES</t>
  </si>
  <si>
    <t>DURATION</t>
  </si>
  <si>
    <t>SECONDS</t>
  </si>
  <si>
    <t>DOB</t>
  </si>
  <si>
    <t xml:space="preserve">CURRENT </t>
  </si>
  <si>
    <t>AGE(IN YEARS)</t>
  </si>
  <si>
    <t>&lt;-- NO OF DAYS</t>
  </si>
  <si>
    <t>Q.IF A PERSON HAVE A DOB OF 23-11-1976.WHAT IS THE CURRENT AGE?</t>
  </si>
  <si>
    <t>Q.REPRESENT THE ABOVE DOB AS:DAYNAME-MONTHNAME DAYPART,YEAR WITH CENTURY</t>
  </si>
  <si>
    <t>&lt;--DD-MM-YYYY</t>
  </si>
  <si>
    <t>TEXT FUNCTIONS</t>
  </si>
  <si>
    <t>*** FUNCTIONS:-</t>
  </si>
  <si>
    <t>VIRAT KOHLI</t>
  </si>
  <si>
    <t>JASPREET BUMRAH</t>
  </si>
  <si>
    <t>KL RAHUL</t>
  </si>
  <si>
    <t>FIRST NAME</t>
  </si>
  <si>
    <t>LAST NAME</t>
  </si>
  <si>
    <t>FIND SPACE</t>
  </si>
  <si>
    <t>KL RAHUL JERSEY 01</t>
  </si>
  <si>
    <t>JASPREET BURAH JERSEY 93</t>
  </si>
  <si>
    <t>FIRST SPACE</t>
  </si>
  <si>
    <t>SECOND SPACE</t>
  </si>
  <si>
    <t>TYPES OF DATA STRUCTURE</t>
  </si>
  <si>
    <t xml:space="preserve">TABLES IN THE FORM OF ROWS AND COLUMNS  </t>
  </si>
  <si>
    <t>1.VERTICAL TABLES</t>
  </si>
  <si>
    <t>2.HORIZONTAL TABLES</t>
  </si>
  <si>
    <t>3.CROSS TABLES/CROSS TABS/CONTINGENCY TABLES</t>
  </si>
  <si>
    <t>A TABLE THAT HAS COLUMN IN THE FIRST ROW.</t>
  </si>
  <si>
    <t>CUST_ID</t>
  </si>
  <si>
    <t>CUST_NAME</t>
  </si>
  <si>
    <t>GENDER</t>
  </si>
  <si>
    <t>AMOUNT</t>
  </si>
  <si>
    <t>JERSEY N0.</t>
  </si>
  <si>
    <t>ANKITA</t>
  </si>
  <si>
    <t>AMIT</t>
  </si>
  <si>
    <t>M</t>
  </si>
  <si>
    <t>F</t>
  </si>
  <si>
    <t>VERTICAL TABLE FOLLOW TOP TO BOTTOM APPROACH</t>
  </si>
  <si>
    <t>A TABLE THAT HAS COLUMNS/HEADERS IN THE FIIRST COLUMN.</t>
  </si>
  <si>
    <t>HORIZONTAL TABLE FOLLOW LEFT TO RIGHT APPROACH</t>
  </si>
  <si>
    <t>A TABLE THAT HAS COLUMN/HEADERS IN THE FIRST COLUMN AND FIRST ROW.</t>
  </si>
  <si>
    <t>CITIES</t>
  </si>
  <si>
    <t>NOIDA</t>
  </si>
  <si>
    <t>DELHI</t>
  </si>
  <si>
    <t>BANGLORE</t>
  </si>
  <si>
    <t>AMIRITSAR</t>
  </si>
  <si>
    <t>LOOKUP FUNCTION:</t>
  </si>
  <si>
    <t>TYPES OF LOOKUP FUNCTION:-</t>
  </si>
  <si>
    <t>1.VLOOKUP /VERTICAL LOOKUP</t>
  </si>
  <si>
    <t>IT WORKS ONLY ON VERTICAL TABLE</t>
  </si>
  <si>
    <t>2.XLOOKUP FUNCTION</t>
  </si>
  <si>
    <t>IT TACKLES THE LIMITATION OF VLOOKUP AND HLOOKUP FUNCTION</t>
  </si>
  <si>
    <t>3.HLOOKUP/HORIZONTAL LOOKUP</t>
  </si>
  <si>
    <t>IT WORKS ONLY ON HORIZONTAL TABLE.</t>
  </si>
  <si>
    <r>
      <rPr>
        <b/>
        <sz val="11"/>
        <color rgb="FFC00000"/>
        <rFont val="Times New Roman"/>
        <family val="1"/>
      </rPr>
      <t>LIMITATIONS:</t>
    </r>
    <r>
      <rPr>
        <sz val="11"/>
        <color theme="1"/>
        <rFont val="Times New Roman"/>
        <family val="1"/>
      </rPr>
      <t xml:space="preserve"> VLOOKUP SEARCHING IS DONE LEFT TO RIGHT DIRECTION OF THE SEARCHING COLUMN</t>
    </r>
  </si>
  <si>
    <r>
      <rPr>
        <b/>
        <sz val="11"/>
        <color rgb="FFC00000"/>
        <rFont val="Times New Roman"/>
        <family val="1"/>
      </rPr>
      <t>LIMITATION:</t>
    </r>
    <r>
      <rPr>
        <sz val="11"/>
        <color theme="1"/>
        <rFont val="Times New Roman"/>
        <family val="1"/>
      </rPr>
      <t xml:space="preserve"> IT IS ABAILABLE IN THE LATEST VERSION OF MICRPSOFT OFFICE I.E.,POT 2021 VERSION OR IN 365</t>
    </r>
  </si>
  <si>
    <t>TO COMPARE THE 2 DATASETS(EITHER IN THE SAME WORKSHEET OR DIFFERENT WORKSHEET OT DIFFERENT WORKBOOK),WE USE LOOKUP FUNCTION</t>
  </si>
  <si>
    <t>ORDER_ID</t>
  </si>
  <si>
    <r>
      <t>TEXT TO COLUMNS:</t>
    </r>
    <r>
      <rPr>
        <sz val="11"/>
        <rFont val="Times New Roman"/>
        <family val="1"/>
      </rPr>
      <t xml:space="preserve"> SPLITTING ONE COLUMN INTO MULTIPLE COLUMNS</t>
    </r>
  </si>
  <si>
    <t>KL RAHUL JERSEY01</t>
  </si>
  <si>
    <t>JASPREET BURAH JERSEY93</t>
  </si>
  <si>
    <t>ROHIT</t>
  </si>
  <si>
    <t>SHARMA</t>
  </si>
  <si>
    <t>KL</t>
  </si>
  <si>
    <t>RAHUL</t>
  </si>
  <si>
    <t>JASPREET</t>
  </si>
  <si>
    <t>BURAH</t>
  </si>
  <si>
    <t>PRITHVI</t>
  </si>
  <si>
    <t>SHAW</t>
  </si>
  <si>
    <t>MAHENDRA SINGH DOHNI JERSEY07</t>
  </si>
  <si>
    <t>MIDDLE NAME</t>
  </si>
  <si>
    <t>MAHENDRA</t>
  </si>
  <si>
    <t>SINGH</t>
  </si>
  <si>
    <t>DOHNI</t>
  </si>
  <si>
    <t xml:space="preserve">IT ONLY EXCEPT THE ONE DIMENSION </t>
  </si>
  <si>
    <r>
      <t xml:space="preserve">LIMITATIONS: </t>
    </r>
    <r>
      <rPr>
        <sz val="11"/>
        <rFont val="Times New Roman"/>
        <family val="1"/>
      </rPr>
      <t>IT ALWAYS SERCHES FOR THE VALUES FROM TOP TO BOTTOM DIRECTION OF THE SEARCHING COLUMN</t>
    </r>
  </si>
  <si>
    <t>LOGICAL FUNCTION</t>
  </si>
  <si>
    <t>OR--&gt;</t>
  </si>
  <si>
    <t>AND--&gt;</t>
  </si>
  <si>
    <t>IF EITHER OF THE CONDITION IS TRUE THEN OUTPUT WILL BE TRUE</t>
  </si>
  <si>
    <t>IF EITHER OF THE CONDITION IS FALSE THEN OOUTPUT IS FALSE</t>
  </si>
  <si>
    <t>DATA VALIDATION</t>
  </si>
  <si>
    <t>TO CHECK THE CORRECTNESS OF THE DATA</t>
  </si>
  <si>
    <t>TO CHECK THE DATA INTEGRITY</t>
  </si>
  <si>
    <t>TO VALIDATE THE DATA</t>
  </si>
  <si>
    <t>TYPES OF DATA VALIDATION:-</t>
  </si>
  <si>
    <t>1.NUMBER DATA VALIDATION</t>
  </si>
  <si>
    <t>2.TEXT/NUMBER VALIDATION</t>
  </si>
  <si>
    <t>DESCIPTIVE ANALYSIS</t>
  </si>
  <si>
    <t>IT INCLUDES:</t>
  </si>
  <si>
    <t>SUM,COUNT,COUNT ,MAX,MIN,SMALL,LARGE.STD DEV,MEDIAN,MODE,VARIATION,STD.ERROR</t>
  </si>
  <si>
    <t>summaries can be prepared using</t>
  </si>
  <si>
    <t>array fn</t>
  </si>
  <si>
    <t>pivot table</t>
  </si>
  <si>
    <t>sumif,sumifs,count if,count ifs,avg if,avg ifs,index(),offset(),choose()</t>
  </si>
  <si>
    <t>q what is the city code for delhi</t>
  </si>
  <si>
    <t>,=vlookup("delhi",choose({3,2,1,4},B8:B15,C8:C15,D8:D15,E8:E15))</t>
  </si>
  <si>
    <t>named ranges:</t>
  </si>
  <si>
    <t>month</t>
  </si>
  <si>
    <t>jan</t>
  </si>
  <si>
    <t>feb</t>
  </si>
  <si>
    <t>march</t>
  </si>
  <si>
    <t>aprl</t>
  </si>
  <si>
    <t>Q. WHAT IS THE LAST MONTH AVAILABLE?</t>
  </si>
  <si>
    <t>Q.WHAT IS THE SALES OF LAST MONTH ?</t>
  </si>
  <si>
    <t>Q.WHAT ARE THE LAST 3 MONTHS?</t>
  </si>
  <si>
    <t>Q.WHAT IS THE SALES OF THE LAST THREE MONTHS?</t>
  </si>
  <si>
    <t xml:space="preserve">MAY </t>
  </si>
  <si>
    <t>AUG</t>
  </si>
  <si>
    <t>JULY</t>
  </si>
  <si>
    <t>JUN</t>
  </si>
  <si>
    <t>Q.DISPLAY THE DATA OF LAST 4 MONTH?</t>
  </si>
  <si>
    <t>OFFSET,COUNTA</t>
  </si>
  <si>
    <t>Category</t>
  </si>
  <si>
    <t>Product</t>
  </si>
  <si>
    <t>Sales</t>
  </si>
  <si>
    <t>Ship to Country</t>
  </si>
  <si>
    <t>Date of Purchase</t>
  </si>
  <si>
    <t>Quarter</t>
  </si>
  <si>
    <t>Condiments</t>
  </si>
  <si>
    <t>French's</t>
  </si>
  <si>
    <t>South Africa</t>
  </si>
  <si>
    <t>Q1</t>
  </si>
  <si>
    <t>Meat/Poultry</t>
  </si>
  <si>
    <t>Shelton Poultry Produce</t>
  </si>
  <si>
    <t>Portugal</t>
  </si>
  <si>
    <t>Q2</t>
  </si>
  <si>
    <t>Banquet Chicken</t>
  </si>
  <si>
    <t>China</t>
  </si>
  <si>
    <t>Mang Tomas</t>
  </si>
  <si>
    <t>France</t>
  </si>
  <si>
    <t>Q4</t>
  </si>
  <si>
    <t>Australia</t>
  </si>
  <si>
    <t>Grain/Cereals</t>
  </si>
  <si>
    <t>Heart to Heart</t>
  </si>
  <si>
    <t>Brazil</t>
  </si>
  <si>
    <t>Trappey's Hot Sauce</t>
  </si>
  <si>
    <t>Sultana Bran</t>
  </si>
  <si>
    <t>Q3</t>
  </si>
  <si>
    <t>Toledano Wings</t>
  </si>
  <si>
    <t>Argentina</t>
  </si>
  <si>
    <t>Wines and Beer</t>
  </si>
  <si>
    <t>Heiniken</t>
  </si>
  <si>
    <t>Beverages</t>
  </si>
  <si>
    <t>Sjora</t>
  </si>
  <si>
    <t>Ireland</t>
  </si>
  <si>
    <t>Confections</t>
  </si>
  <si>
    <t>Fantails</t>
  </si>
  <si>
    <t>Bassett's Sour Squirms</t>
  </si>
  <si>
    <t>Seafood</t>
  </si>
  <si>
    <t>Chicken of the Sea</t>
  </si>
  <si>
    <t>Reese's Puffs</t>
  </si>
  <si>
    <t>Homepride</t>
  </si>
  <si>
    <t>Something Fishy</t>
  </si>
  <si>
    <t>Ecco Domani</t>
  </si>
  <si>
    <t>Japan</t>
  </si>
  <si>
    <t>Dairy Products</t>
  </si>
  <si>
    <t>Rose's Marmalade</t>
  </si>
  <si>
    <t>Bovril</t>
  </si>
  <si>
    <t>Granola</t>
  </si>
  <si>
    <t>Horlicks</t>
  </si>
  <si>
    <t>Barleycup</t>
  </si>
  <si>
    <t>PDQ Chocolate</t>
  </si>
  <si>
    <t>Mintolas</t>
  </si>
  <si>
    <t>India</t>
  </si>
  <si>
    <t>Gold Spot</t>
  </si>
  <si>
    <t>Pepperoni Pit</t>
  </si>
  <si>
    <t>Kentucky Common Beer</t>
  </si>
  <si>
    <t>Nutrimato</t>
  </si>
  <si>
    <t>Chocolate Oat Crunch Life</t>
  </si>
  <si>
    <t>Cravendale</t>
  </si>
  <si>
    <t>Plochman's</t>
  </si>
  <si>
    <t>Gale's Curd</t>
  </si>
  <si>
    <t>Bart's Peanut Butter Chocolate Crunch</t>
  </si>
  <si>
    <t>Maull's barbecue sauce</t>
  </si>
  <si>
    <t>Lipton Brisk</t>
  </si>
  <si>
    <t>Pilgrims Pride</t>
  </si>
  <si>
    <t>Lobsters by the Bay</t>
  </si>
  <si>
    <t>Pot Pie</t>
  </si>
  <si>
    <t>Jack's Shrimp</t>
  </si>
  <si>
    <t>Heinz Tomato Ketchup</t>
  </si>
  <si>
    <t>Budweiser</t>
  </si>
  <si>
    <t>Fish n Feed</t>
  </si>
  <si>
    <t>Choco Crunch</t>
  </si>
  <si>
    <t>Country Dale Milk</t>
  </si>
  <si>
    <t>Richards Wild Irish Rose</t>
  </si>
  <si>
    <t>Buzz Blasts</t>
  </si>
  <si>
    <t>Empire Kosher Poultry</t>
  </si>
  <si>
    <t>Gold n' Plump</t>
  </si>
  <si>
    <t>Ferrari Spumante</t>
  </si>
  <si>
    <t>Honey Bunches</t>
  </si>
  <si>
    <t>Milo</t>
  </si>
  <si>
    <t>Go Lean Cereal (Crunch)</t>
  </si>
  <si>
    <t>Benco Instant Choco Drink</t>
  </si>
  <si>
    <t>Fizz-wiz</t>
  </si>
  <si>
    <t>PJ's Smoothies</t>
  </si>
  <si>
    <t>McCowans</t>
  </si>
  <si>
    <t>Chivers</t>
  </si>
  <si>
    <t>Barbers Eggs</t>
  </si>
  <si>
    <t>Carlsberg</t>
  </si>
  <si>
    <t>Grape Nut Flakes</t>
  </si>
  <si>
    <t>Freddo</t>
  </si>
  <si>
    <t>Wrigley's Chewing Gum</t>
  </si>
  <si>
    <t>Yog-Active</t>
  </si>
  <si>
    <t>Gooey Logs</t>
  </si>
  <si>
    <t>Puff</t>
  </si>
  <si>
    <t>Nestle Double Berry</t>
  </si>
  <si>
    <t>Aromat</t>
  </si>
  <si>
    <t>Double Dip Sherbet</t>
  </si>
  <si>
    <t>Zacky Chicken</t>
  </si>
  <si>
    <t>Lockets</t>
  </si>
  <si>
    <t>Hartley's Jam</t>
  </si>
  <si>
    <t>Corona</t>
  </si>
  <si>
    <t>Sun-Pat Peanut Butter</t>
  </si>
  <si>
    <t>Rice Krispies</t>
  </si>
  <si>
    <t>Ovaltine</t>
  </si>
  <si>
    <t>Tavernello</t>
  </si>
  <si>
    <t>Gentleman's Relish</t>
  </si>
  <si>
    <t>Refreshers Gums</t>
  </si>
  <si>
    <t>Blue Nun</t>
  </si>
  <si>
    <t>The Evil Monk</t>
  </si>
  <si>
    <t>Nut 'n Honey</t>
  </si>
  <si>
    <t>CREATE THE SALES RANGE AND ANALYSE THE NUMBER OF ORDERS AGAINST EACH OTHER</t>
  </si>
  <si>
    <t>Count of Sales</t>
  </si>
  <si>
    <t>Details for Count of Sales</t>
  </si>
  <si>
    <t>LABELS</t>
  </si>
  <si>
    <t>Grand Total</t>
  </si>
  <si>
    <t>REVENUE</t>
  </si>
  <si>
    <t>PERFORM REVENUE ANALYSIS PER CATEGORY.THE BOTTOM 2 CATEGORIES SHOULD BE GROUPED TOGETHER</t>
  </si>
  <si>
    <t>SEP</t>
  </si>
  <si>
    <t>Q. WHAT IS THE AVERAGE OF LAST THREE MONTHS,</t>
  </si>
  <si>
    <t>OCT</t>
  </si>
  <si>
    <t>DYNAMIC NAMED RANGES</t>
  </si>
  <si>
    <t>USED FOR CREATING DYNAMIC CHARTS</t>
  </si>
  <si>
    <t>DYN_SALES,=OFFSET('class 3'!$C$48,1,1,COUNTA('class 3'!$C$49:$C$60),1)</t>
  </si>
  <si>
    <t>DYN_MONTHS,=OFFSET('class 3'!$C$48,1,0,COUNTA('class 3'!$C$49:$C$60),1)</t>
  </si>
  <si>
    <t>NOV</t>
  </si>
  <si>
    <t>CREATE A DYNAMIC CHART THAT SHOWS THE MONTHLY SALES.</t>
  </si>
  <si>
    <t>BY MAKING RAW DATA AAS EXCEL TABLE USING CTRL+T</t>
  </si>
  <si>
    <t>DEC</t>
  </si>
  <si>
    <t>PIVOT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</si>
</sst>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&gt;=1000000]0.0,,&quot;M&quot;;[&gt;=1000]0.0,&quot;K&quot;;0"/>
    <numFmt numFmtId="165" formatCode="dd"/>
    <numFmt numFmtId="166" formatCode="hh\ &quot;HRS&quot;"/>
    <numFmt numFmtId="167" formatCode="[mm]\ &quot;MINS&quot;"/>
    <numFmt numFmtId="168" formatCode="[ss]\ &quot;SECS&quot;"/>
    <numFmt numFmtId="169" formatCode="yy"/>
    <numFmt numFmtId="170" formatCode="0.00\ &quot;YEARS&quot;"/>
    <numFmt numFmtId="171" formatCode="dddd/mmmm\ dd\,\ yyyy"/>
  </numFmts>
  <fonts count="1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00B050"/>
      <name val="Times New Roman"/>
      <family val="1"/>
    </font>
    <font>
      <sz val="11"/>
      <color theme="6"/>
      <name val="Times New Roman"/>
      <family val="1"/>
    </font>
    <font>
      <b/>
      <sz val="16"/>
      <color theme="8" tint="-0.499984740745262"/>
      <name val="Times New Roman"/>
      <family val="1"/>
    </font>
    <font>
      <sz val="11"/>
      <color theme="0"/>
      <name val="Times New Roman"/>
      <family val="1"/>
    </font>
    <font>
      <b/>
      <sz val="11"/>
      <color rgb="FFC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0" fontId="7" fillId="0" borderId="0" xfId="0" applyFont="1"/>
    <xf numFmtId="0" fontId="3" fillId="0" borderId="2" xfId="0" applyFont="1" applyBorder="1"/>
    <xf numFmtId="0" fontId="8" fillId="4" borderId="1" xfId="0" applyFont="1" applyFill="1" applyBorder="1"/>
    <xf numFmtId="0" fontId="3" fillId="3" borderId="1" xfId="0" applyFont="1" applyFill="1" applyBorder="1"/>
    <xf numFmtId="0" fontId="8" fillId="0" borderId="0" xfId="0" applyFont="1"/>
    <xf numFmtId="0" fontId="9" fillId="0" borderId="0" xfId="0" applyFont="1"/>
    <xf numFmtId="0" fontId="10" fillId="2" borderId="1" xfId="1" applyFont="1" applyFill="1" applyBorder="1" applyAlignment="1">
      <alignment horizontal="center" wrapText="1"/>
    </xf>
    <xf numFmtId="0" fontId="10" fillId="2" borderId="1" xfId="1" applyFont="1" applyFill="1" applyBorder="1" applyAlignment="1">
      <alignment horizontal="center"/>
    </xf>
    <xf numFmtId="0" fontId="11" fillId="0" borderId="1" xfId="1" applyFont="1" applyBorder="1"/>
    <xf numFmtId="2" fontId="11" fillId="0" borderId="1" xfId="1" applyNumberFormat="1" applyFont="1" applyBorder="1"/>
    <xf numFmtId="0" fontId="11" fillId="0" borderId="0" xfId="1" applyFont="1"/>
    <xf numFmtId="2" fontId="11" fillId="0" borderId="0" xfId="1" applyNumberFormat="1" applyFont="1"/>
    <xf numFmtId="0" fontId="3" fillId="0" borderId="0" xfId="0" quotePrefix="1" applyFont="1"/>
    <xf numFmtId="0" fontId="3" fillId="5" borderId="1" xfId="0" applyFont="1" applyFill="1" applyBorder="1"/>
    <xf numFmtId="0" fontId="8" fillId="6" borderId="1" xfId="0" applyFont="1" applyFill="1" applyBorder="1"/>
    <xf numFmtId="18" fontId="3" fillId="5" borderId="1" xfId="0" applyNumberFormat="1" applyFont="1" applyFill="1" applyBorder="1"/>
    <xf numFmtId="165" fontId="3" fillId="5" borderId="1" xfId="0" applyNumberFormat="1" applyFont="1" applyFill="1" applyBorder="1"/>
    <xf numFmtId="166" fontId="3" fillId="5" borderId="1" xfId="0" applyNumberFormat="1" applyFont="1" applyFill="1" applyBorder="1"/>
    <xf numFmtId="167" fontId="3" fillId="5" borderId="1" xfId="0" applyNumberFormat="1" applyFont="1" applyFill="1" applyBorder="1"/>
    <xf numFmtId="168" fontId="3" fillId="5" borderId="1" xfId="0" applyNumberFormat="1" applyFont="1" applyFill="1" applyBorder="1"/>
    <xf numFmtId="0" fontId="8" fillId="6" borderId="4" xfId="0" applyFont="1" applyFill="1" applyBorder="1"/>
    <xf numFmtId="0" fontId="11" fillId="0" borderId="5" xfId="1" applyFont="1" applyBorder="1"/>
    <xf numFmtId="0" fontId="13" fillId="0" borderId="0" xfId="0" applyFont="1"/>
    <xf numFmtId="0" fontId="15" fillId="0" borderId="0" xfId="0" applyFont="1"/>
    <xf numFmtId="0" fontId="15" fillId="2" borderId="6" xfId="0" applyFont="1" applyFill="1" applyBorder="1"/>
    <xf numFmtId="0" fontId="15" fillId="2" borderId="7" xfId="0" applyFont="1" applyFill="1" applyBorder="1"/>
    <xf numFmtId="0" fontId="15" fillId="2" borderId="8" xfId="0" applyFont="1" applyFill="1" applyBorder="1"/>
    <xf numFmtId="0" fontId="15" fillId="2" borderId="9" xfId="0" applyFont="1" applyFill="1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14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9" xfId="0" applyNumberFormat="1" applyBorder="1"/>
    <xf numFmtId="0" fontId="0" fillId="0" borderId="20" xfId="0" applyBorder="1"/>
    <xf numFmtId="0" fontId="13" fillId="2" borderId="0" xfId="0" applyFont="1" applyFill="1"/>
    <xf numFmtId="14" fontId="0" fillId="0" borderId="0" xfId="0" applyNumberFormat="1"/>
    <xf numFmtId="0" fontId="15" fillId="2" borderId="5" xfId="0" applyFont="1" applyFill="1" applyBorder="1"/>
    <xf numFmtId="0" fontId="0" fillId="0" borderId="0" xfId="0" pivotButton="1"/>
    <xf numFmtId="0" fontId="14" fillId="0" borderId="0" xfId="0" applyFont="1"/>
    <xf numFmtId="0" fontId="0" fillId="0" borderId="3" xfId="0" applyBorder="1"/>
    <xf numFmtId="0" fontId="0" fillId="0" borderId="15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8" fillId="4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1118A07F-47A2-4643-814C-903976D01817}"/>
  </cellStyles>
  <dxfs count="10">
    <dxf>
      <numFmt numFmtId="172" formatCode="0.0,&quot;K&quot;"/>
    </dxf>
    <dxf>
      <numFmt numFmtId="173" formatCode="0.0,,&quot;M&quot;"/>
    </dxf>
    <dxf>
      <numFmt numFmtId="174" formatCode="0.0,,,&quot;B&quot;"/>
    </dxf>
    <dxf>
      <numFmt numFmtId="19" formatCode="dd/mm/yy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'class 3'!$B$23:$B$34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aprl</c:v>
                </c:pt>
                <c:pt idx="4">
                  <c:v>MAY </c:v>
                </c:pt>
                <c:pt idx="5">
                  <c:v>JUN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[0]!SALES</c:f>
              <c:numCache>
                <c:formatCode>General</c:formatCode>
                <c:ptCount val="12"/>
                <c:pt idx="0">
                  <c:v>233</c:v>
                </c:pt>
                <c:pt idx="1">
                  <c:v>308</c:v>
                </c:pt>
                <c:pt idx="2">
                  <c:v>241</c:v>
                </c:pt>
                <c:pt idx="3">
                  <c:v>254</c:v>
                </c:pt>
                <c:pt idx="4">
                  <c:v>890</c:v>
                </c:pt>
                <c:pt idx="5">
                  <c:v>900</c:v>
                </c:pt>
                <c:pt idx="6">
                  <c:v>234</c:v>
                </c:pt>
                <c:pt idx="7">
                  <c:v>890</c:v>
                </c:pt>
                <c:pt idx="8">
                  <c:v>900</c:v>
                </c:pt>
                <c:pt idx="9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EE-4D6D-9B6C-C451B210B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915647"/>
        <c:axId val="1187919487"/>
      </c:lineChart>
      <c:catAx>
        <c:axId val="118791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19487"/>
        <c:crosses val="autoZero"/>
        <c:auto val="1"/>
        <c:lblAlgn val="ctr"/>
        <c:lblOffset val="100"/>
        <c:noMultiLvlLbl val="0"/>
      </c:catAx>
      <c:valAx>
        <c:axId val="11879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1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'class 3'!DYN_MONTHS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aprl</c:v>
                </c:pt>
                <c:pt idx="4">
                  <c:v>MAY </c:v>
                </c:pt>
                <c:pt idx="5">
                  <c:v>JUN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[0]!DYN_SALES</c:f>
              <c:numCache>
                <c:formatCode>General</c:formatCode>
                <c:ptCount val="11"/>
                <c:pt idx="0">
                  <c:v>233</c:v>
                </c:pt>
                <c:pt idx="1">
                  <c:v>308</c:v>
                </c:pt>
                <c:pt idx="2">
                  <c:v>241</c:v>
                </c:pt>
                <c:pt idx="3">
                  <c:v>254</c:v>
                </c:pt>
                <c:pt idx="4">
                  <c:v>890</c:v>
                </c:pt>
                <c:pt idx="5">
                  <c:v>900</c:v>
                </c:pt>
                <c:pt idx="6">
                  <c:v>234</c:v>
                </c:pt>
                <c:pt idx="7">
                  <c:v>890</c:v>
                </c:pt>
                <c:pt idx="8">
                  <c:v>900</c:v>
                </c:pt>
                <c:pt idx="9">
                  <c:v>750</c:v>
                </c:pt>
                <c:pt idx="10">
                  <c:v>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6-4DA0-9E15-2D711215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708543"/>
        <c:axId val="878709023"/>
      </c:lineChart>
      <c:catAx>
        <c:axId val="87870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09023"/>
        <c:crosses val="autoZero"/>
        <c:auto val="1"/>
        <c:lblAlgn val="ctr"/>
        <c:lblOffset val="100"/>
        <c:noMultiLvlLbl val="0"/>
      </c:catAx>
      <c:valAx>
        <c:axId val="8787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0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'class 3'!$D$70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'class 3'!$C$71:$C$82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aprl</c:v>
                </c:pt>
                <c:pt idx="4">
                  <c:v>MAY </c:v>
                </c:pt>
                <c:pt idx="5">
                  <c:v>JUN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'class 3'!$D$71:$D$82</c:f>
              <c:numCache>
                <c:formatCode>General</c:formatCode>
                <c:ptCount val="12"/>
                <c:pt idx="0">
                  <c:v>233</c:v>
                </c:pt>
                <c:pt idx="1">
                  <c:v>308</c:v>
                </c:pt>
                <c:pt idx="2">
                  <c:v>241</c:v>
                </c:pt>
                <c:pt idx="3">
                  <c:v>254</c:v>
                </c:pt>
                <c:pt idx="4">
                  <c:v>890</c:v>
                </c:pt>
                <c:pt idx="5">
                  <c:v>900</c:v>
                </c:pt>
                <c:pt idx="6">
                  <c:v>234</c:v>
                </c:pt>
                <c:pt idx="7">
                  <c:v>890</c:v>
                </c:pt>
                <c:pt idx="8">
                  <c:v>900</c:v>
                </c:pt>
                <c:pt idx="9">
                  <c:v>750</c:v>
                </c:pt>
                <c:pt idx="10">
                  <c:v>678</c:v>
                </c:pt>
                <c:pt idx="11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09-498D-BE58-B39105E45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922847"/>
        <c:axId val="11879218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'class 3'!$C$70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'class 3'!$C$71:$C$82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aprl</c:v>
                      </c:pt>
                      <c:pt idx="4">
                        <c:v>MAY </c:v>
                      </c:pt>
                      <c:pt idx="5">
                        <c:v>JUN</c:v>
                      </c:pt>
                      <c:pt idx="6">
                        <c:v>JULY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'class 3'!$C$71:$C$82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09-498D-BE58-B39105E45F21}"/>
                  </c:ext>
                </c:extLst>
              </c15:ser>
            </c15:filteredLineSeries>
          </c:ext>
        </c:extLst>
      </c:lineChart>
      <c:catAx>
        <c:axId val="118792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21887"/>
        <c:crosses val="autoZero"/>
        <c:auto val="1"/>
        <c:lblAlgn val="ctr"/>
        <c:lblOffset val="100"/>
        <c:noMultiLvlLbl val="0"/>
      </c:catAx>
      <c:valAx>
        <c:axId val="11879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92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4</xdr:row>
      <xdr:rowOff>53340</xdr:rowOff>
    </xdr:from>
    <xdr:to>
      <xdr:col>2</xdr:col>
      <xdr:colOff>556260</xdr:colOff>
      <xdr:row>4</xdr:row>
      <xdr:rowOff>68580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E284F7C-62EE-22FA-76B1-620AF20B6BB0}"/>
            </a:ext>
          </a:extLst>
        </xdr:cNvPr>
        <xdr:cNvCxnSpPr/>
      </xdr:nvCxnSpPr>
      <xdr:spPr>
        <a:xfrm>
          <a:off x="1264920" y="784860"/>
          <a:ext cx="51054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187740</xdr:colOff>
      <xdr:row>19</xdr:row>
      <xdr:rowOff>3313</xdr:rowOff>
    </xdr:from>
    <xdr:to>
      <xdr:col>16</xdr:col>
      <xdr:colOff>508001</xdr:colOff>
      <xdr:row>33</xdr:row>
      <xdr:rowOff>118166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221F1F-B78C-2608-999E-8679402B9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55218</xdr:colOff>
      <xdr:row>49</xdr:row>
      <xdr:rowOff>124792</xdr:rowOff>
    </xdr:from>
    <xdr:to>
      <xdr:col>11</xdr:col>
      <xdr:colOff>375479</xdr:colOff>
      <xdr:row>64</xdr:row>
      <xdr:rowOff>51905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0D5938-749B-B99B-BB2D-4A714C42C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77304</xdr:colOff>
      <xdr:row>69</xdr:row>
      <xdr:rowOff>14356</xdr:rowOff>
    </xdr:from>
    <xdr:to>
      <xdr:col>12</xdr:col>
      <xdr:colOff>397565</xdr:colOff>
      <xdr:row>83</xdr:row>
      <xdr:rowOff>129208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7DC0DA-F471-2CE4-8971-B448E0420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907.602886805558" createdVersion="8" refreshedVersion="8" minRefreshableVersion="3" recordCount="698" xr:uid="{AA5FB772-AD0A-4121-B6BD-B9C5F2391210}">
  <cacheSource type="worksheet">
    <worksheetSource ref="A2:F700" sheet="CLASS 4"/>
  </cacheSource>
  <cacheFields count="7">
    <cacheField name="Category" numFmtId="0">
      <sharedItems count="8">
        <s v="Condiments"/>
        <s v="Meat/Poultry"/>
        <s v="Grain/Cereals"/>
        <s v="Wines and Beer"/>
        <s v="Beverages"/>
        <s v="Confections"/>
        <s v="Seafood"/>
        <s v="Dairy Products"/>
      </sharedItems>
      <fieldGroup par="6"/>
    </cacheField>
    <cacheField name="Product" numFmtId="0">
      <sharedItems count="81">
        <s v="French's"/>
        <s v="Shelton Poultry Produce"/>
        <s v="Banquet Chicken"/>
        <s v="Mang Tomas"/>
        <s v="Heart to Heart"/>
        <s v="Trappey's Hot Sauce"/>
        <s v="Sultana Bran"/>
        <s v="Toledano Wings"/>
        <s v="Heiniken"/>
        <s v="Sjora"/>
        <s v="Fantails"/>
        <s v="Bassett's Sour Squirms"/>
        <s v="Chicken of the Sea"/>
        <s v="Reese's Puffs"/>
        <s v="Homepride"/>
        <s v="Something Fishy"/>
        <s v="Ecco Domani"/>
        <s v="Rose's Marmalade"/>
        <s v="Bovril"/>
        <s v="Granola"/>
        <s v="Horlicks"/>
        <s v="Barleycup"/>
        <s v="PDQ Chocolate"/>
        <s v="Mintolas"/>
        <s v="Gold Spot"/>
        <s v="Pepperoni Pit"/>
        <s v="Kentucky Common Beer"/>
        <s v="Nutrimato"/>
        <s v="Chocolate Oat Crunch Life"/>
        <s v="Cravendale"/>
        <s v="Plochman's"/>
        <s v="Gale's Curd"/>
        <s v="Bart's Peanut Butter Chocolate Crunch"/>
        <s v="Maull's barbecue sauce"/>
        <s v="Lipton Brisk"/>
        <s v="Pilgrims Pride"/>
        <s v="Lobsters by the Bay"/>
        <s v="Pot Pie"/>
        <s v="Jack's Shrimp"/>
        <s v="Heinz Tomato Ketchup"/>
        <s v="Budweiser"/>
        <s v="Fish n Feed"/>
        <s v="Choco Crunch"/>
        <s v="Country Dale Milk"/>
        <s v="Richards Wild Irish Rose"/>
        <s v="Buzz Blasts"/>
        <s v="Empire Kosher Poultry"/>
        <s v="Gold n' Plump"/>
        <s v="Ferrari Spumante"/>
        <s v="Honey Bunches"/>
        <s v="Milo"/>
        <s v="Go Lean Cereal (Crunch)"/>
        <s v="Benco Instant Choco Drink"/>
        <s v="Fizz-wiz"/>
        <s v="PJ's Smoothies"/>
        <s v="McCowans"/>
        <s v="Chivers"/>
        <s v="Barbers Eggs"/>
        <s v="Carlsberg"/>
        <s v="Grape Nut Flakes"/>
        <s v="Freddo"/>
        <s v="Wrigley's Chewing Gum"/>
        <s v="Yog-Active"/>
        <s v="Gooey Logs"/>
        <s v="Puff"/>
        <s v="Nestle Double Berry"/>
        <s v="Aromat"/>
        <s v="Double Dip Sherbet"/>
        <s v="Zacky Chicken"/>
        <s v="Lockets"/>
        <s v="Hartley's Jam"/>
        <s v="Corona"/>
        <s v="Sun-Pat Peanut Butter"/>
        <s v="Rice Krispies"/>
        <s v="Ovaltine"/>
        <s v="Tavernello"/>
        <s v="Gentleman's Relish"/>
        <s v="Refreshers Gums"/>
        <s v="Blue Nun"/>
        <s v="The Evil Monk"/>
        <s v="Nut 'n Honey"/>
      </sharedItems>
    </cacheField>
    <cacheField name="Sales" numFmtId="0">
      <sharedItems containsSemiMixedTypes="0" containsString="0" containsNumber="1" containsInteger="1" minValue="748" maxValue="3256"/>
    </cacheField>
    <cacheField name="Ship to Country" numFmtId="0">
      <sharedItems/>
    </cacheField>
    <cacheField name="Date of Purchase" numFmtId="14">
      <sharedItems containsSemiMixedTypes="0" containsNonDate="0" containsDate="1" containsString="0" minDate="2014-01-02T00:00:00" maxDate="2015-12-29T00:00:00"/>
    </cacheField>
    <cacheField name="Quarter" numFmtId="0">
      <sharedItems/>
    </cacheField>
    <cacheField name="Category2" numFmtId="0" databaseField="0">
      <fieldGroup base="0">
        <discretePr count="8">
          <x v="0"/>
          <x v="1"/>
          <x v="2"/>
          <x v="6"/>
          <x v="3"/>
          <x v="4"/>
          <x v="6"/>
          <x v="5"/>
        </discretePr>
        <groupItems count="7">
          <s v="Condiments"/>
          <s v="Meat/Poultry"/>
          <s v="Grain/Cereals"/>
          <s v="Beverages"/>
          <s v="Confections"/>
          <s v="Dairy Products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8">
  <r>
    <x v="0"/>
    <x v="0"/>
    <n v="748"/>
    <s v="South Africa"/>
    <d v="2015-03-06T00:00:00"/>
    <s v="Q1"/>
  </r>
  <r>
    <x v="1"/>
    <x v="1"/>
    <n v="753"/>
    <s v="Portugal"/>
    <d v="2014-04-03T00:00:00"/>
    <s v="Q2"/>
  </r>
  <r>
    <x v="1"/>
    <x v="2"/>
    <n v="755"/>
    <s v="China"/>
    <d v="2015-02-07T00:00:00"/>
    <s v="Q1"/>
  </r>
  <r>
    <x v="0"/>
    <x v="3"/>
    <n v="757"/>
    <s v="France"/>
    <d v="2015-11-16T00:00:00"/>
    <s v="Q4"/>
  </r>
  <r>
    <x v="1"/>
    <x v="2"/>
    <n v="757"/>
    <s v="Australia"/>
    <d v="2015-10-23T00:00:00"/>
    <s v="Q4"/>
  </r>
  <r>
    <x v="2"/>
    <x v="4"/>
    <n v="772"/>
    <s v="Brazil"/>
    <d v="2014-12-28T00:00:00"/>
    <s v="Q4"/>
  </r>
  <r>
    <x v="0"/>
    <x v="5"/>
    <n v="773"/>
    <s v="Portugal"/>
    <d v="2015-04-02T00:00:00"/>
    <s v="Q2"/>
  </r>
  <r>
    <x v="2"/>
    <x v="6"/>
    <n v="781"/>
    <s v="Portugal"/>
    <d v="2014-08-19T00:00:00"/>
    <s v="Q3"/>
  </r>
  <r>
    <x v="1"/>
    <x v="7"/>
    <n v="784"/>
    <s v="Argentina"/>
    <d v="2015-08-25T00:00:00"/>
    <s v="Q3"/>
  </r>
  <r>
    <x v="3"/>
    <x v="8"/>
    <n v="785"/>
    <s v="Brazil"/>
    <d v="2014-10-08T00:00:00"/>
    <s v="Q4"/>
  </r>
  <r>
    <x v="4"/>
    <x v="9"/>
    <n v="786"/>
    <s v="Ireland"/>
    <d v="2015-07-23T00:00:00"/>
    <s v="Q3"/>
  </r>
  <r>
    <x v="5"/>
    <x v="10"/>
    <n v="789"/>
    <s v="South Africa"/>
    <d v="2015-05-16T00:00:00"/>
    <s v="Q2"/>
  </r>
  <r>
    <x v="5"/>
    <x v="11"/>
    <n v="800"/>
    <s v="Ireland"/>
    <d v="2015-03-14T00:00:00"/>
    <s v="Q1"/>
  </r>
  <r>
    <x v="6"/>
    <x v="12"/>
    <n v="800"/>
    <s v="China"/>
    <d v="2014-09-07T00:00:00"/>
    <s v="Q3"/>
  </r>
  <r>
    <x v="2"/>
    <x v="13"/>
    <n v="802"/>
    <s v="Portugal"/>
    <d v="2015-01-18T00:00:00"/>
    <s v="Q1"/>
  </r>
  <r>
    <x v="0"/>
    <x v="14"/>
    <n v="803"/>
    <s v="France"/>
    <d v="2015-12-14T00:00:00"/>
    <s v="Q4"/>
  </r>
  <r>
    <x v="6"/>
    <x v="15"/>
    <n v="804"/>
    <s v="South Africa"/>
    <d v="2015-06-03T00:00:00"/>
    <s v="Q2"/>
  </r>
  <r>
    <x v="3"/>
    <x v="16"/>
    <n v="807"/>
    <s v="Japan"/>
    <d v="2014-02-26T00:00:00"/>
    <s v="Q1"/>
  </r>
  <r>
    <x v="7"/>
    <x v="17"/>
    <n v="808"/>
    <s v="France"/>
    <d v="2014-02-07T00:00:00"/>
    <s v="Q1"/>
  </r>
  <r>
    <x v="4"/>
    <x v="18"/>
    <n v="811"/>
    <s v="Argentina"/>
    <d v="2015-07-19T00:00:00"/>
    <s v="Q3"/>
  </r>
  <r>
    <x v="2"/>
    <x v="19"/>
    <n v="814"/>
    <s v="Japan"/>
    <d v="2014-12-22T00:00:00"/>
    <s v="Q4"/>
  </r>
  <r>
    <x v="4"/>
    <x v="20"/>
    <n v="815"/>
    <s v="France"/>
    <d v="2014-09-23T00:00:00"/>
    <s v="Q3"/>
  </r>
  <r>
    <x v="4"/>
    <x v="21"/>
    <n v="816"/>
    <s v="Japan"/>
    <d v="2014-04-20T00:00:00"/>
    <s v="Q2"/>
  </r>
  <r>
    <x v="4"/>
    <x v="22"/>
    <n v="820"/>
    <s v="Japan"/>
    <d v="2015-10-13T00:00:00"/>
    <s v="Q4"/>
  </r>
  <r>
    <x v="5"/>
    <x v="23"/>
    <n v="825"/>
    <s v="India"/>
    <d v="2015-05-23T00:00:00"/>
    <s v="Q2"/>
  </r>
  <r>
    <x v="4"/>
    <x v="24"/>
    <n v="826"/>
    <s v="South Africa"/>
    <d v="2015-11-20T00:00:00"/>
    <s v="Q4"/>
  </r>
  <r>
    <x v="5"/>
    <x v="11"/>
    <n v="830"/>
    <s v="Portugal"/>
    <d v="2014-05-10T00:00:00"/>
    <s v="Q2"/>
  </r>
  <r>
    <x v="1"/>
    <x v="25"/>
    <n v="830"/>
    <s v="Australia"/>
    <d v="2014-04-04T00:00:00"/>
    <s v="Q2"/>
  </r>
  <r>
    <x v="3"/>
    <x v="26"/>
    <n v="837"/>
    <s v="India"/>
    <d v="2015-12-24T00:00:00"/>
    <s v="Q4"/>
  </r>
  <r>
    <x v="4"/>
    <x v="27"/>
    <n v="838"/>
    <s v="Japan"/>
    <d v="2014-12-10T00:00:00"/>
    <s v="Q4"/>
  </r>
  <r>
    <x v="5"/>
    <x v="23"/>
    <n v="844"/>
    <s v="France"/>
    <d v="2015-05-06T00:00:00"/>
    <s v="Q2"/>
  </r>
  <r>
    <x v="4"/>
    <x v="18"/>
    <n v="845"/>
    <s v="Portugal"/>
    <d v="2015-10-05T00:00:00"/>
    <s v="Q4"/>
  </r>
  <r>
    <x v="2"/>
    <x v="28"/>
    <n v="846"/>
    <s v="Australia"/>
    <d v="2015-03-26T00:00:00"/>
    <s v="Q1"/>
  </r>
  <r>
    <x v="4"/>
    <x v="18"/>
    <n v="849"/>
    <s v="Argentina"/>
    <d v="2014-05-14T00:00:00"/>
    <s v="Q2"/>
  </r>
  <r>
    <x v="4"/>
    <x v="29"/>
    <n v="851"/>
    <s v="Brazil"/>
    <d v="2015-12-08T00:00:00"/>
    <s v="Q4"/>
  </r>
  <r>
    <x v="0"/>
    <x v="30"/>
    <n v="860"/>
    <s v="Argentina"/>
    <d v="2015-02-05T00:00:00"/>
    <s v="Q1"/>
  </r>
  <r>
    <x v="1"/>
    <x v="1"/>
    <n v="862"/>
    <s v="Portugal"/>
    <d v="2015-11-02T00:00:00"/>
    <s v="Q4"/>
  </r>
  <r>
    <x v="7"/>
    <x v="31"/>
    <n v="866"/>
    <s v="Portugal"/>
    <d v="2014-02-11T00:00:00"/>
    <s v="Q1"/>
  </r>
  <r>
    <x v="2"/>
    <x v="32"/>
    <n v="872"/>
    <s v="Australia"/>
    <d v="2014-11-19T00:00:00"/>
    <s v="Q4"/>
  </r>
  <r>
    <x v="0"/>
    <x v="33"/>
    <n v="874"/>
    <s v="Japan"/>
    <d v="2014-11-21T00:00:00"/>
    <s v="Q4"/>
  </r>
  <r>
    <x v="5"/>
    <x v="23"/>
    <n v="874"/>
    <s v="Ireland"/>
    <d v="2015-12-28T00:00:00"/>
    <s v="Q4"/>
  </r>
  <r>
    <x v="4"/>
    <x v="34"/>
    <n v="895"/>
    <s v="Portugal"/>
    <d v="2015-02-15T00:00:00"/>
    <s v="Q1"/>
  </r>
  <r>
    <x v="1"/>
    <x v="35"/>
    <n v="896"/>
    <s v="China"/>
    <d v="2015-01-04T00:00:00"/>
    <s v="Q1"/>
  </r>
  <r>
    <x v="7"/>
    <x v="31"/>
    <n v="898"/>
    <s v="India"/>
    <d v="2015-03-17T00:00:00"/>
    <s v="Q1"/>
  </r>
  <r>
    <x v="6"/>
    <x v="36"/>
    <n v="907"/>
    <s v="Portugal"/>
    <d v="2014-04-16T00:00:00"/>
    <s v="Q2"/>
  </r>
  <r>
    <x v="1"/>
    <x v="37"/>
    <n v="911"/>
    <s v="China"/>
    <d v="2015-11-27T00:00:00"/>
    <s v="Q4"/>
  </r>
  <r>
    <x v="6"/>
    <x v="38"/>
    <n v="916"/>
    <s v="Portugal"/>
    <d v="2014-07-08T00:00:00"/>
    <s v="Q3"/>
  </r>
  <r>
    <x v="0"/>
    <x v="39"/>
    <n v="917"/>
    <s v="South Africa"/>
    <d v="2015-01-05T00:00:00"/>
    <s v="Q1"/>
  </r>
  <r>
    <x v="1"/>
    <x v="2"/>
    <n v="921"/>
    <s v="China"/>
    <d v="2015-07-07T00:00:00"/>
    <s v="Q3"/>
  </r>
  <r>
    <x v="3"/>
    <x v="40"/>
    <n v="922"/>
    <s v="China"/>
    <d v="2014-01-07T00:00:00"/>
    <s v="Q1"/>
  </r>
  <r>
    <x v="6"/>
    <x v="41"/>
    <n v="925"/>
    <s v="South Africa"/>
    <d v="2014-08-07T00:00:00"/>
    <s v="Q3"/>
  </r>
  <r>
    <x v="2"/>
    <x v="42"/>
    <n v="926"/>
    <s v="India"/>
    <d v="2014-12-13T00:00:00"/>
    <s v="Q4"/>
  </r>
  <r>
    <x v="7"/>
    <x v="43"/>
    <n v="932"/>
    <s v="India"/>
    <d v="2015-10-20T00:00:00"/>
    <s v="Q4"/>
  </r>
  <r>
    <x v="6"/>
    <x v="15"/>
    <n v="935"/>
    <s v="Ireland"/>
    <d v="2015-02-25T00:00:00"/>
    <s v="Q1"/>
  </r>
  <r>
    <x v="3"/>
    <x v="44"/>
    <n v="940"/>
    <s v="Brazil"/>
    <d v="2015-02-17T00:00:00"/>
    <s v="Q1"/>
  </r>
  <r>
    <x v="2"/>
    <x v="45"/>
    <n v="942"/>
    <s v="Brazil"/>
    <d v="2015-04-23T00:00:00"/>
    <s v="Q2"/>
  </r>
  <r>
    <x v="6"/>
    <x v="15"/>
    <n v="945"/>
    <s v="Ireland"/>
    <d v="2015-08-03T00:00:00"/>
    <s v="Q3"/>
  </r>
  <r>
    <x v="1"/>
    <x v="46"/>
    <n v="953"/>
    <s v="Argentina"/>
    <d v="2015-12-13T00:00:00"/>
    <s v="Q4"/>
  </r>
  <r>
    <x v="3"/>
    <x v="44"/>
    <n v="964"/>
    <s v="Argentina"/>
    <d v="2014-12-23T00:00:00"/>
    <s v="Q4"/>
  </r>
  <r>
    <x v="0"/>
    <x v="33"/>
    <n v="966"/>
    <s v="Australia"/>
    <d v="2014-04-12T00:00:00"/>
    <s v="Q2"/>
  </r>
  <r>
    <x v="1"/>
    <x v="35"/>
    <n v="969"/>
    <s v="Portugal"/>
    <d v="2015-02-04T00:00:00"/>
    <s v="Q1"/>
  </r>
  <r>
    <x v="3"/>
    <x v="40"/>
    <n v="970"/>
    <s v="Japan"/>
    <d v="2014-08-09T00:00:00"/>
    <s v="Q3"/>
  </r>
  <r>
    <x v="1"/>
    <x v="47"/>
    <n v="972"/>
    <s v="India"/>
    <d v="2015-11-14T00:00:00"/>
    <s v="Q4"/>
  </r>
  <r>
    <x v="3"/>
    <x v="48"/>
    <n v="973"/>
    <s v="India"/>
    <d v="2015-12-01T00:00:00"/>
    <s v="Q4"/>
  </r>
  <r>
    <x v="0"/>
    <x v="14"/>
    <n v="982"/>
    <s v="Australia"/>
    <d v="2015-06-19T00:00:00"/>
    <s v="Q2"/>
  </r>
  <r>
    <x v="2"/>
    <x v="49"/>
    <n v="991"/>
    <s v="Portugal"/>
    <d v="2015-05-20T00:00:00"/>
    <s v="Q2"/>
  </r>
  <r>
    <x v="4"/>
    <x v="50"/>
    <n v="991"/>
    <s v="Brazil"/>
    <d v="2014-07-22T00:00:00"/>
    <s v="Q3"/>
  </r>
  <r>
    <x v="2"/>
    <x v="51"/>
    <n v="998"/>
    <s v="Portugal"/>
    <d v="2014-02-10T00:00:00"/>
    <s v="Q1"/>
  </r>
  <r>
    <x v="2"/>
    <x v="32"/>
    <n v="1004"/>
    <s v="India"/>
    <d v="2015-07-22T00:00:00"/>
    <s v="Q3"/>
  </r>
  <r>
    <x v="2"/>
    <x v="32"/>
    <n v="1008"/>
    <s v="Japan"/>
    <d v="2015-01-25T00:00:00"/>
    <s v="Q1"/>
  </r>
  <r>
    <x v="5"/>
    <x v="10"/>
    <n v="1010"/>
    <s v="Ireland"/>
    <d v="2015-12-09T00:00:00"/>
    <s v="Q4"/>
  </r>
  <r>
    <x v="3"/>
    <x v="26"/>
    <n v="1013"/>
    <s v="China"/>
    <d v="2015-05-12T00:00:00"/>
    <s v="Q2"/>
  </r>
  <r>
    <x v="4"/>
    <x v="18"/>
    <n v="1015"/>
    <s v="Ireland"/>
    <d v="2015-03-02T00:00:00"/>
    <s v="Q1"/>
  </r>
  <r>
    <x v="6"/>
    <x v="38"/>
    <n v="1015"/>
    <s v="India"/>
    <d v="2015-04-09T00:00:00"/>
    <s v="Q2"/>
  </r>
  <r>
    <x v="2"/>
    <x v="19"/>
    <n v="1017"/>
    <s v="South Africa"/>
    <d v="2015-09-18T00:00:00"/>
    <s v="Q3"/>
  </r>
  <r>
    <x v="3"/>
    <x v="40"/>
    <n v="1018"/>
    <s v="France"/>
    <d v="2014-05-16T00:00:00"/>
    <s v="Q2"/>
  </r>
  <r>
    <x v="1"/>
    <x v="46"/>
    <n v="1018"/>
    <s v="Portugal"/>
    <d v="2014-07-18T00:00:00"/>
    <s v="Q3"/>
  </r>
  <r>
    <x v="4"/>
    <x v="24"/>
    <n v="1019"/>
    <s v="Australia"/>
    <d v="2014-12-08T00:00:00"/>
    <s v="Q4"/>
  </r>
  <r>
    <x v="7"/>
    <x v="31"/>
    <n v="1022"/>
    <s v="Portugal"/>
    <d v="2015-01-13T00:00:00"/>
    <s v="Q1"/>
  </r>
  <r>
    <x v="6"/>
    <x v="41"/>
    <n v="1022"/>
    <s v="Brazil"/>
    <d v="2014-05-20T00:00:00"/>
    <s v="Q2"/>
  </r>
  <r>
    <x v="4"/>
    <x v="20"/>
    <n v="1033"/>
    <s v="Australia"/>
    <d v="2014-02-18T00:00:00"/>
    <s v="Q1"/>
  </r>
  <r>
    <x v="2"/>
    <x v="51"/>
    <n v="1034"/>
    <s v="South Africa"/>
    <d v="2015-09-07T00:00:00"/>
    <s v="Q3"/>
  </r>
  <r>
    <x v="4"/>
    <x v="52"/>
    <n v="1037"/>
    <s v="Japan"/>
    <d v="2015-06-09T00:00:00"/>
    <s v="Q2"/>
  </r>
  <r>
    <x v="0"/>
    <x v="39"/>
    <n v="1037"/>
    <s v="China"/>
    <d v="2014-09-03T00:00:00"/>
    <s v="Q3"/>
  </r>
  <r>
    <x v="5"/>
    <x v="53"/>
    <n v="1041"/>
    <s v="South Africa"/>
    <d v="2015-10-24T00:00:00"/>
    <s v="Q4"/>
  </r>
  <r>
    <x v="4"/>
    <x v="54"/>
    <n v="1044"/>
    <s v="South Africa"/>
    <d v="2015-12-07T00:00:00"/>
    <s v="Q4"/>
  </r>
  <r>
    <x v="5"/>
    <x v="55"/>
    <n v="1047"/>
    <s v="Argentina"/>
    <d v="2014-12-26T00:00:00"/>
    <s v="Q4"/>
  </r>
  <r>
    <x v="2"/>
    <x v="51"/>
    <n v="1050"/>
    <s v="Australia"/>
    <d v="2015-01-28T00:00:00"/>
    <s v="Q1"/>
  </r>
  <r>
    <x v="7"/>
    <x v="56"/>
    <n v="1054"/>
    <s v="India"/>
    <d v="2014-02-11T00:00:00"/>
    <s v="Q1"/>
  </r>
  <r>
    <x v="1"/>
    <x v="57"/>
    <n v="1054"/>
    <s v="Argentina"/>
    <d v="2014-11-09T00:00:00"/>
    <s v="Q4"/>
  </r>
  <r>
    <x v="2"/>
    <x v="6"/>
    <n v="1057"/>
    <s v="Japan"/>
    <d v="2015-09-03T00:00:00"/>
    <s v="Q3"/>
  </r>
  <r>
    <x v="3"/>
    <x v="58"/>
    <n v="1059"/>
    <s v="Brazil"/>
    <d v="2015-05-16T00:00:00"/>
    <s v="Q2"/>
  </r>
  <r>
    <x v="7"/>
    <x v="31"/>
    <n v="1064"/>
    <s v="Brazil"/>
    <d v="2014-04-23T00:00:00"/>
    <s v="Q2"/>
  </r>
  <r>
    <x v="0"/>
    <x v="3"/>
    <n v="1065"/>
    <s v="Japan"/>
    <d v="2015-08-28T00:00:00"/>
    <s v="Q3"/>
  </r>
  <r>
    <x v="2"/>
    <x v="32"/>
    <n v="1078"/>
    <s v="Brazil"/>
    <d v="2014-12-15T00:00:00"/>
    <s v="Q4"/>
  </r>
  <r>
    <x v="2"/>
    <x v="6"/>
    <n v="1078"/>
    <s v="Portugal"/>
    <d v="2015-10-14T00:00:00"/>
    <s v="Q4"/>
  </r>
  <r>
    <x v="4"/>
    <x v="20"/>
    <n v="1079"/>
    <s v="Australia"/>
    <d v="2015-02-15T00:00:00"/>
    <s v="Q1"/>
  </r>
  <r>
    <x v="6"/>
    <x v="38"/>
    <n v="1079"/>
    <s v="Brazil"/>
    <d v="2014-02-20T00:00:00"/>
    <s v="Q1"/>
  </r>
  <r>
    <x v="4"/>
    <x v="18"/>
    <n v="1081"/>
    <s v="China"/>
    <d v="2015-01-18T00:00:00"/>
    <s v="Q1"/>
  </r>
  <r>
    <x v="0"/>
    <x v="14"/>
    <n v="1081"/>
    <s v="India"/>
    <d v="2015-07-02T00:00:00"/>
    <s v="Q3"/>
  </r>
  <r>
    <x v="7"/>
    <x v="31"/>
    <n v="1083"/>
    <s v="China"/>
    <d v="2015-01-10T00:00:00"/>
    <s v="Q1"/>
  </r>
  <r>
    <x v="4"/>
    <x v="34"/>
    <n v="1093"/>
    <s v="France"/>
    <d v="2014-06-05T00:00:00"/>
    <s v="Q2"/>
  </r>
  <r>
    <x v="2"/>
    <x v="59"/>
    <n v="1095"/>
    <s v="China"/>
    <d v="2015-06-13T00:00:00"/>
    <s v="Q2"/>
  </r>
  <r>
    <x v="5"/>
    <x v="60"/>
    <n v="1104"/>
    <s v="Portugal"/>
    <d v="2014-11-20T00:00:00"/>
    <s v="Q4"/>
  </r>
  <r>
    <x v="5"/>
    <x v="61"/>
    <n v="1111"/>
    <s v="France"/>
    <d v="2015-06-03T00:00:00"/>
    <s v="Q2"/>
  </r>
  <r>
    <x v="2"/>
    <x v="19"/>
    <n v="1114"/>
    <s v="China"/>
    <d v="2015-01-25T00:00:00"/>
    <s v="Q1"/>
  </r>
  <r>
    <x v="6"/>
    <x v="41"/>
    <n v="1115"/>
    <s v="Australia"/>
    <d v="2014-05-09T00:00:00"/>
    <s v="Q2"/>
  </r>
  <r>
    <x v="2"/>
    <x v="62"/>
    <n v="1115"/>
    <s v="Portugal"/>
    <d v="2015-10-15T00:00:00"/>
    <s v="Q4"/>
  </r>
  <r>
    <x v="2"/>
    <x v="13"/>
    <n v="1118"/>
    <s v="France"/>
    <d v="2014-07-19T00:00:00"/>
    <s v="Q3"/>
  </r>
  <r>
    <x v="0"/>
    <x v="33"/>
    <n v="1122"/>
    <s v="Portugal"/>
    <d v="2014-02-21T00:00:00"/>
    <s v="Q1"/>
  </r>
  <r>
    <x v="2"/>
    <x v="28"/>
    <n v="1124"/>
    <s v="Japan"/>
    <d v="2014-02-17T00:00:00"/>
    <s v="Q1"/>
  </r>
  <r>
    <x v="1"/>
    <x v="46"/>
    <n v="1128"/>
    <s v="Japan"/>
    <d v="2014-04-13T00:00:00"/>
    <s v="Q2"/>
  </r>
  <r>
    <x v="2"/>
    <x v="13"/>
    <n v="1130"/>
    <s v="South Africa"/>
    <d v="2015-03-02T00:00:00"/>
    <s v="Q1"/>
  </r>
  <r>
    <x v="0"/>
    <x v="30"/>
    <n v="1131"/>
    <s v="Portugal"/>
    <d v="2015-08-05T00:00:00"/>
    <s v="Q3"/>
  </r>
  <r>
    <x v="2"/>
    <x v="13"/>
    <n v="1132"/>
    <s v="Portugal"/>
    <d v="2015-11-06T00:00:00"/>
    <s v="Q4"/>
  </r>
  <r>
    <x v="3"/>
    <x v="8"/>
    <n v="1139"/>
    <s v="Brazil"/>
    <d v="2015-02-18T00:00:00"/>
    <s v="Q1"/>
  </r>
  <r>
    <x v="2"/>
    <x v="49"/>
    <n v="1141"/>
    <s v="Argentina"/>
    <d v="2014-08-17T00:00:00"/>
    <s v="Q3"/>
  </r>
  <r>
    <x v="4"/>
    <x v="29"/>
    <n v="1149"/>
    <s v="China"/>
    <d v="2014-12-07T00:00:00"/>
    <s v="Q4"/>
  </r>
  <r>
    <x v="4"/>
    <x v="20"/>
    <n v="1163"/>
    <s v="Ireland"/>
    <d v="2015-11-01T00:00:00"/>
    <s v="Q4"/>
  </r>
  <r>
    <x v="5"/>
    <x v="63"/>
    <n v="1164"/>
    <s v="Argentina"/>
    <d v="2014-02-16T00:00:00"/>
    <s v="Q1"/>
  </r>
  <r>
    <x v="5"/>
    <x v="60"/>
    <n v="1168"/>
    <s v="Portugal"/>
    <d v="2015-03-22T00:00:00"/>
    <s v="Q1"/>
  </r>
  <r>
    <x v="2"/>
    <x v="51"/>
    <n v="1168"/>
    <s v="India"/>
    <d v="2014-06-16T00:00:00"/>
    <s v="Q2"/>
  </r>
  <r>
    <x v="4"/>
    <x v="22"/>
    <n v="1172"/>
    <s v="Ireland"/>
    <d v="2014-04-25T00:00:00"/>
    <s v="Q2"/>
  </r>
  <r>
    <x v="1"/>
    <x v="57"/>
    <n v="1174"/>
    <s v="South Africa"/>
    <d v="2014-07-01T00:00:00"/>
    <s v="Q3"/>
  </r>
  <r>
    <x v="7"/>
    <x v="31"/>
    <n v="1194"/>
    <s v="Australia"/>
    <d v="2014-03-20T00:00:00"/>
    <s v="Q1"/>
  </r>
  <r>
    <x v="2"/>
    <x v="49"/>
    <n v="1207"/>
    <s v="Brazil"/>
    <d v="2015-07-23T00:00:00"/>
    <s v="Q3"/>
  </r>
  <r>
    <x v="0"/>
    <x v="0"/>
    <n v="1212"/>
    <s v="Argentina"/>
    <d v="2014-12-27T00:00:00"/>
    <s v="Q4"/>
  </r>
  <r>
    <x v="3"/>
    <x v="16"/>
    <n v="1213"/>
    <s v="Argentina"/>
    <d v="2014-09-16T00:00:00"/>
    <s v="Q3"/>
  </r>
  <r>
    <x v="4"/>
    <x v="29"/>
    <n v="1224"/>
    <s v="Australia"/>
    <d v="2015-04-25T00:00:00"/>
    <s v="Q2"/>
  </r>
  <r>
    <x v="2"/>
    <x v="64"/>
    <n v="1224"/>
    <s v="Ireland"/>
    <d v="2015-05-04T00:00:00"/>
    <s v="Q2"/>
  </r>
  <r>
    <x v="6"/>
    <x v="12"/>
    <n v="1225"/>
    <s v="Brazil"/>
    <d v="2015-03-16T00:00:00"/>
    <s v="Q1"/>
  </r>
  <r>
    <x v="1"/>
    <x v="46"/>
    <n v="1227"/>
    <s v="India"/>
    <d v="2015-02-16T00:00:00"/>
    <s v="Q1"/>
  </r>
  <r>
    <x v="1"/>
    <x v="37"/>
    <n v="1237"/>
    <s v="Ireland"/>
    <d v="2014-04-08T00:00:00"/>
    <s v="Q2"/>
  </r>
  <r>
    <x v="5"/>
    <x v="65"/>
    <n v="1243"/>
    <s v="China"/>
    <d v="2014-05-05T00:00:00"/>
    <s v="Q2"/>
  </r>
  <r>
    <x v="1"/>
    <x v="25"/>
    <n v="1244"/>
    <s v="Japan"/>
    <d v="2015-04-28T00:00:00"/>
    <s v="Q2"/>
  </r>
  <r>
    <x v="5"/>
    <x v="61"/>
    <n v="1250"/>
    <s v="South Africa"/>
    <d v="2014-02-26T00:00:00"/>
    <s v="Q1"/>
  </r>
  <r>
    <x v="1"/>
    <x v="37"/>
    <n v="1252"/>
    <s v="India"/>
    <d v="2015-07-01T00:00:00"/>
    <s v="Q3"/>
  </r>
  <r>
    <x v="0"/>
    <x v="66"/>
    <n v="1253"/>
    <s v="India"/>
    <d v="2015-03-15T00:00:00"/>
    <s v="Q1"/>
  </r>
  <r>
    <x v="1"/>
    <x v="57"/>
    <n v="1256"/>
    <s v="Portugal"/>
    <d v="2015-05-10T00:00:00"/>
    <s v="Q2"/>
  </r>
  <r>
    <x v="7"/>
    <x v="17"/>
    <n v="1268"/>
    <s v="Argentina"/>
    <d v="2015-04-08T00:00:00"/>
    <s v="Q2"/>
  </r>
  <r>
    <x v="5"/>
    <x v="23"/>
    <n v="1273"/>
    <s v="India"/>
    <d v="2014-05-11T00:00:00"/>
    <s v="Q2"/>
  </r>
  <r>
    <x v="3"/>
    <x v="58"/>
    <n v="1275"/>
    <s v="South Africa"/>
    <d v="2014-12-02T00:00:00"/>
    <s v="Q4"/>
  </r>
  <r>
    <x v="5"/>
    <x v="65"/>
    <n v="1279"/>
    <s v="Japan"/>
    <d v="2015-05-09T00:00:00"/>
    <s v="Q2"/>
  </r>
  <r>
    <x v="1"/>
    <x v="1"/>
    <n v="1279"/>
    <s v="Ireland"/>
    <d v="2014-08-20T00:00:00"/>
    <s v="Q3"/>
  </r>
  <r>
    <x v="4"/>
    <x v="27"/>
    <n v="1282"/>
    <s v="China"/>
    <d v="2015-08-18T00:00:00"/>
    <s v="Q3"/>
  </r>
  <r>
    <x v="1"/>
    <x v="7"/>
    <n v="1285"/>
    <s v="Japan"/>
    <d v="2014-02-05T00:00:00"/>
    <s v="Q1"/>
  </r>
  <r>
    <x v="4"/>
    <x v="21"/>
    <n v="1286"/>
    <s v="Brazil"/>
    <d v="2015-03-07T00:00:00"/>
    <s v="Q1"/>
  </r>
  <r>
    <x v="2"/>
    <x v="42"/>
    <n v="1290"/>
    <s v="Japan"/>
    <d v="2015-01-04T00:00:00"/>
    <s v="Q1"/>
  </r>
  <r>
    <x v="3"/>
    <x v="26"/>
    <n v="1290"/>
    <s v="Japan"/>
    <d v="2015-08-27T00:00:00"/>
    <s v="Q3"/>
  </r>
  <r>
    <x v="0"/>
    <x v="14"/>
    <n v="1293"/>
    <s v="Portugal"/>
    <d v="2014-05-07T00:00:00"/>
    <s v="Q2"/>
  </r>
  <r>
    <x v="5"/>
    <x v="53"/>
    <n v="1293"/>
    <s v="Portugal"/>
    <d v="2014-06-10T00:00:00"/>
    <s v="Q2"/>
  </r>
  <r>
    <x v="4"/>
    <x v="22"/>
    <n v="1308"/>
    <s v="Brazil"/>
    <d v="2014-03-02T00:00:00"/>
    <s v="Q1"/>
  </r>
  <r>
    <x v="4"/>
    <x v="9"/>
    <n v="1310"/>
    <s v="France"/>
    <d v="2014-11-12T00:00:00"/>
    <s v="Q4"/>
  </r>
  <r>
    <x v="4"/>
    <x v="52"/>
    <n v="1322"/>
    <s v="Argentina"/>
    <d v="2015-03-24T00:00:00"/>
    <s v="Q1"/>
  </r>
  <r>
    <x v="4"/>
    <x v="52"/>
    <n v="1322"/>
    <s v="Portugal"/>
    <d v="2015-08-24T00:00:00"/>
    <s v="Q3"/>
  </r>
  <r>
    <x v="4"/>
    <x v="24"/>
    <n v="1322"/>
    <s v="India"/>
    <d v="2015-12-13T00:00:00"/>
    <s v="Q4"/>
  </r>
  <r>
    <x v="3"/>
    <x v="48"/>
    <n v="1328"/>
    <s v="Ireland"/>
    <d v="2015-01-25T00:00:00"/>
    <s v="Q1"/>
  </r>
  <r>
    <x v="5"/>
    <x v="67"/>
    <n v="1332"/>
    <s v="China"/>
    <d v="2015-05-19T00:00:00"/>
    <s v="Q2"/>
  </r>
  <r>
    <x v="1"/>
    <x v="68"/>
    <n v="1334"/>
    <s v="Brazil"/>
    <d v="2015-09-22T00:00:00"/>
    <s v="Q3"/>
  </r>
  <r>
    <x v="4"/>
    <x v="20"/>
    <n v="1335"/>
    <s v="Australia"/>
    <d v="2014-07-22T00:00:00"/>
    <s v="Q3"/>
  </r>
  <r>
    <x v="4"/>
    <x v="50"/>
    <n v="1339"/>
    <s v="Japan"/>
    <d v="2014-07-04T00:00:00"/>
    <s v="Q3"/>
  </r>
  <r>
    <x v="7"/>
    <x v="17"/>
    <n v="1341"/>
    <s v="France"/>
    <d v="2014-12-22T00:00:00"/>
    <s v="Q4"/>
  </r>
  <r>
    <x v="2"/>
    <x v="64"/>
    <n v="1342"/>
    <s v="Ireland"/>
    <d v="2014-05-25T00:00:00"/>
    <s v="Q2"/>
  </r>
  <r>
    <x v="6"/>
    <x v="41"/>
    <n v="1342"/>
    <s v="Portugal"/>
    <d v="2014-05-18T00:00:00"/>
    <s v="Q2"/>
  </r>
  <r>
    <x v="0"/>
    <x v="33"/>
    <n v="1344"/>
    <s v="Portugal"/>
    <d v="2015-06-14T00:00:00"/>
    <s v="Q2"/>
  </r>
  <r>
    <x v="3"/>
    <x v="58"/>
    <n v="1349"/>
    <s v="France"/>
    <d v="2015-01-16T00:00:00"/>
    <s v="Q1"/>
  </r>
  <r>
    <x v="7"/>
    <x v="56"/>
    <n v="1349"/>
    <s v="Argentina"/>
    <d v="2015-04-08T00:00:00"/>
    <s v="Q2"/>
  </r>
  <r>
    <x v="2"/>
    <x v="51"/>
    <n v="1353"/>
    <s v="Australia"/>
    <d v="2014-12-21T00:00:00"/>
    <s v="Q4"/>
  </r>
  <r>
    <x v="2"/>
    <x v="19"/>
    <n v="1363"/>
    <s v="Australia"/>
    <d v="2015-01-13T00:00:00"/>
    <s v="Q1"/>
  </r>
  <r>
    <x v="5"/>
    <x v="10"/>
    <n v="1363"/>
    <s v="Argentina"/>
    <d v="2015-06-05T00:00:00"/>
    <s v="Q2"/>
  </r>
  <r>
    <x v="2"/>
    <x v="42"/>
    <n v="1368"/>
    <s v="France"/>
    <d v="2015-06-08T00:00:00"/>
    <s v="Q2"/>
  </r>
  <r>
    <x v="5"/>
    <x v="69"/>
    <n v="1379"/>
    <s v="Ireland"/>
    <d v="2014-12-27T00:00:00"/>
    <s v="Q4"/>
  </r>
  <r>
    <x v="5"/>
    <x v="10"/>
    <n v="1386"/>
    <s v="France"/>
    <d v="2014-07-19T00:00:00"/>
    <s v="Q3"/>
  </r>
  <r>
    <x v="2"/>
    <x v="59"/>
    <n v="1388"/>
    <s v="Brazil"/>
    <d v="2014-01-22T00:00:00"/>
    <s v="Q1"/>
  </r>
  <r>
    <x v="0"/>
    <x v="33"/>
    <n v="1389"/>
    <s v="Japan"/>
    <d v="2014-06-25T00:00:00"/>
    <s v="Q2"/>
  </r>
  <r>
    <x v="0"/>
    <x v="66"/>
    <n v="1391"/>
    <s v="Ireland"/>
    <d v="2015-06-17T00:00:00"/>
    <s v="Q2"/>
  </r>
  <r>
    <x v="4"/>
    <x v="20"/>
    <n v="1394"/>
    <s v="Argentina"/>
    <d v="2014-06-07T00:00:00"/>
    <s v="Q2"/>
  </r>
  <r>
    <x v="6"/>
    <x v="12"/>
    <n v="1395"/>
    <s v="Japan"/>
    <d v="2014-07-01T00:00:00"/>
    <s v="Q3"/>
  </r>
  <r>
    <x v="0"/>
    <x v="30"/>
    <n v="1399"/>
    <s v="China"/>
    <d v="2014-08-26T00:00:00"/>
    <s v="Q3"/>
  </r>
  <r>
    <x v="4"/>
    <x v="27"/>
    <n v="1403"/>
    <s v="China"/>
    <d v="2014-02-25T00:00:00"/>
    <s v="Q1"/>
  </r>
  <r>
    <x v="2"/>
    <x v="32"/>
    <n v="1404"/>
    <s v="Brazil"/>
    <d v="2014-06-27T00:00:00"/>
    <s v="Q2"/>
  </r>
  <r>
    <x v="1"/>
    <x v="47"/>
    <n v="1405"/>
    <s v="China"/>
    <d v="2014-12-17T00:00:00"/>
    <s v="Q4"/>
  </r>
  <r>
    <x v="0"/>
    <x v="14"/>
    <n v="1415"/>
    <s v="Australia"/>
    <d v="2014-05-20T00:00:00"/>
    <s v="Q2"/>
  </r>
  <r>
    <x v="7"/>
    <x v="70"/>
    <n v="1416"/>
    <s v="Portugal"/>
    <d v="2015-10-24T00:00:00"/>
    <s v="Q4"/>
  </r>
  <r>
    <x v="1"/>
    <x v="2"/>
    <n v="1429"/>
    <s v="Australia"/>
    <d v="2014-09-05T00:00:00"/>
    <s v="Q3"/>
  </r>
  <r>
    <x v="3"/>
    <x v="44"/>
    <n v="1431"/>
    <s v="Australia"/>
    <d v="2014-09-10T00:00:00"/>
    <s v="Q3"/>
  </r>
  <r>
    <x v="3"/>
    <x v="58"/>
    <n v="1432"/>
    <s v="Brazil"/>
    <d v="2014-01-26T00:00:00"/>
    <s v="Q1"/>
  </r>
  <r>
    <x v="7"/>
    <x v="17"/>
    <n v="1435"/>
    <s v="Japan"/>
    <d v="2014-09-12T00:00:00"/>
    <s v="Q3"/>
  </r>
  <r>
    <x v="5"/>
    <x v="11"/>
    <n v="1440"/>
    <s v="Argentina"/>
    <d v="2015-02-21T00:00:00"/>
    <s v="Q1"/>
  </r>
  <r>
    <x v="2"/>
    <x v="13"/>
    <n v="1446"/>
    <s v="South Africa"/>
    <d v="2014-08-11T00:00:00"/>
    <s v="Q3"/>
  </r>
  <r>
    <x v="4"/>
    <x v="21"/>
    <n v="1453"/>
    <s v="Japan"/>
    <d v="2015-08-13T00:00:00"/>
    <s v="Q3"/>
  </r>
  <r>
    <x v="4"/>
    <x v="21"/>
    <n v="1459"/>
    <s v="China"/>
    <d v="2015-09-08T00:00:00"/>
    <s v="Q3"/>
  </r>
  <r>
    <x v="0"/>
    <x v="33"/>
    <n v="1462"/>
    <s v="France"/>
    <d v="2014-03-07T00:00:00"/>
    <s v="Q1"/>
  </r>
  <r>
    <x v="3"/>
    <x v="71"/>
    <n v="1465"/>
    <s v="South Africa"/>
    <d v="2014-02-19T00:00:00"/>
    <s v="Q1"/>
  </r>
  <r>
    <x v="5"/>
    <x v="55"/>
    <n v="1465"/>
    <s v="Australia"/>
    <d v="2015-04-21T00:00:00"/>
    <s v="Q2"/>
  </r>
  <r>
    <x v="5"/>
    <x v="67"/>
    <n v="1465"/>
    <s v="Argentina"/>
    <d v="2014-12-20T00:00:00"/>
    <s v="Q4"/>
  </r>
  <r>
    <x v="3"/>
    <x v="58"/>
    <n v="1467"/>
    <s v="Ireland"/>
    <d v="2015-09-09T00:00:00"/>
    <s v="Q3"/>
  </r>
  <r>
    <x v="5"/>
    <x v="61"/>
    <n v="1475"/>
    <s v="China"/>
    <d v="2015-05-22T00:00:00"/>
    <s v="Q2"/>
  </r>
  <r>
    <x v="5"/>
    <x v="67"/>
    <n v="1476"/>
    <s v="Portugal"/>
    <d v="2014-05-02T00:00:00"/>
    <s v="Q2"/>
  </r>
  <r>
    <x v="3"/>
    <x v="48"/>
    <n v="1479"/>
    <s v="France"/>
    <d v="2015-06-04T00:00:00"/>
    <s v="Q2"/>
  </r>
  <r>
    <x v="7"/>
    <x v="72"/>
    <n v="1480"/>
    <s v="Portugal"/>
    <d v="2015-11-24T00:00:00"/>
    <s v="Q4"/>
  </r>
  <r>
    <x v="3"/>
    <x v="71"/>
    <n v="1481"/>
    <s v="Brazil"/>
    <d v="2014-04-15T00:00:00"/>
    <s v="Q2"/>
  </r>
  <r>
    <x v="2"/>
    <x v="73"/>
    <n v="1481"/>
    <s v="Ireland"/>
    <d v="2015-12-21T00:00:00"/>
    <s v="Q4"/>
  </r>
  <r>
    <x v="0"/>
    <x v="39"/>
    <n v="1482"/>
    <s v="Brazil"/>
    <d v="2015-04-12T00:00:00"/>
    <s v="Q2"/>
  </r>
  <r>
    <x v="0"/>
    <x v="3"/>
    <n v="1485"/>
    <s v="Brazil"/>
    <d v="2014-10-26T00:00:00"/>
    <s v="Q4"/>
  </r>
  <r>
    <x v="0"/>
    <x v="3"/>
    <n v="1486"/>
    <s v="Argentina"/>
    <d v="2015-12-02T00:00:00"/>
    <s v="Q4"/>
  </r>
  <r>
    <x v="2"/>
    <x v="62"/>
    <n v="1509"/>
    <s v="Brazil"/>
    <d v="2014-05-15T00:00:00"/>
    <s v="Q2"/>
  </r>
  <r>
    <x v="2"/>
    <x v="32"/>
    <n v="1509"/>
    <s v="Ireland"/>
    <d v="2014-09-10T00:00:00"/>
    <s v="Q3"/>
  </r>
  <r>
    <x v="4"/>
    <x v="21"/>
    <n v="1512"/>
    <s v="Argentina"/>
    <d v="2015-09-18T00:00:00"/>
    <s v="Q3"/>
  </r>
  <r>
    <x v="7"/>
    <x v="72"/>
    <n v="1517"/>
    <s v="Australia"/>
    <d v="2014-02-17T00:00:00"/>
    <s v="Q1"/>
  </r>
  <r>
    <x v="1"/>
    <x v="35"/>
    <n v="1521"/>
    <s v="Argentina"/>
    <d v="2015-05-10T00:00:00"/>
    <s v="Q2"/>
  </r>
  <r>
    <x v="2"/>
    <x v="62"/>
    <n v="1523"/>
    <s v="Argentina"/>
    <d v="2015-07-11T00:00:00"/>
    <s v="Q3"/>
  </r>
  <r>
    <x v="6"/>
    <x v="15"/>
    <n v="1524"/>
    <s v="South Africa"/>
    <d v="2014-08-27T00:00:00"/>
    <s v="Q3"/>
  </r>
  <r>
    <x v="2"/>
    <x v="13"/>
    <n v="1525"/>
    <s v="Australia"/>
    <d v="2014-08-12T00:00:00"/>
    <s v="Q3"/>
  </r>
  <r>
    <x v="6"/>
    <x v="15"/>
    <n v="1528"/>
    <s v="France"/>
    <d v="2014-06-13T00:00:00"/>
    <s v="Q2"/>
  </r>
  <r>
    <x v="0"/>
    <x v="0"/>
    <n v="1530"/>
    <s v="Japan"/>
    <d v="2015-08-04T00:00:00"/>
    <s v="Q3"/>
  </r>
  <r>
    <x v="2"/>
    <x v="73"/>
    <n v="1531"/>
    <s v="Japan"/>
    <d v="2014-01-04T00:00:00"/>
    <s v="Q1"/>
  </r>
  <r>
    <x v="3"/>
    <x v="26"/>
    <n v="1535"/>
    <s v="Portugal"/>
    <d v="2014-02-24T00:00:00"/>
    <s v="Q1"/>
  </r>
  <r>
    <x v="4"/>
    <x v="74"/>
    <n v="1540"/>
    <s v="China"/>
    <d v="2014-06-19T00:00:00"/>
    <s v="Q2"/>
  </r>
  <r>
    <x v="2"/>
    <x v="45"/>
    <n v="1541"/>
    <s v="Portugal"/>
    <d v="2014-04-25T00:00:00"/>
    <s v="Q2"/>
  </r>
  <r>
    <x v="5"/>
    <x v="11"/>
    <n v="1542"/>
    <s v="Argentina"/>
    <d v="2014-11-10T00:00:00"/>
    <s v="Q4"/>
  </r>
  <r>
    <x v="0"/>
    <x v="33"/>
    <n v="1557"/>
    <s v="India"/>
    <d v="2015-06-26T00:00:00"/>
    <s v="Q2"/>
  </r>
  <r>
    <x v="1"/>
    <x v="1"/>
    <n v="1562"/>
    <s v="Brazil"/>
    <d v="2014-05-16T00:00:00"/>
    <s v="Q2"/>
  </r>
  <r>
    <x v="2"/>
    <x v="62"/>
    <n v="1566"/>
    <s v="China"/>
    <d v="2015-11-12T00:00:00"/>
    <s v="Q4"/>
  </r>
  <r>
    <x v="3"/>
    <x v="58"/>
    <n v="1570"/>
    <s v="France"/>
    <d v="2015-07-28T00:00:00"/>
    <s v="Q3"/>
  </r>
  <r>
    <x v="2"/>
    <x v="28"/>
    <n v="1570"/>
    <s v="India"/>
    <d v="2014-10-17T00:00:00"/>
    <s v="Q4"/>
  </r>
  <r>
    <x v="4"/>
    <x v="74"/>
    <n v="1572"/>
    <s v="Argentina"/>
    <d v="2014-12-15T00:00:00"/>
    <s v="Q4"/>
  </r>
  <r>
    <x v="0"/>
    <x v="39"/>
    <n v="1573"/>
    <s v="South Africa"/>
    <d v="2015-06-27T00:00:00"/>
    <s v="Q2"/>
  </r>
  <r>
    <x v="3"/>
    <x v="75"/>
    <n v="1579"/>
    <s v="Brazil"/>
    <d v="2015-03-02T00:00:00"/>
    <s v="Q1"/>
  </r>
  <r>
    <x v="5"/>
    <x v="11"/>
    <n v="1590"/>
    <s v="France"/>
    <d v="2014-10-18T00:00:00"/>
    <s v="Q4"/>
  </r>
  <r>
    <x v="5"/>
    <x v="61"/>
    <n v="1592"/>
    <s v="Argentina"/>
    <d v="2014-04-27T00:00:00"/>
    <s v="Q2"/>
  </r>
  <r>
    <x v="4"/>
    <x v="24"/>
    <n v="1596"/>
    <s v="Japan"/>
    <d v="2014-07-26T00:00:00"/>
    <s v="Q3"/>
  </r>
  <r>
    <x v="4"/>
    <x v="24"/>
    <n v="1597"/>
    <s v="France"/>
    <d v="2015-11-01T00:00:00"/>
    <s v="Q4"/>
  </r>
  <r>
    <x v="7"/>
    <x v="43"/>
    <n v="1598"/>
    <s v="Portugal"/>
    <d v="2014-09-22T00:00:00"/>
    <s v="Q3"/>
  </r>
  <r>
    <x v="2"/>
    <x v="42"/>
    <n v="1599"/>
    <s v="China"/>
    <d v="2015-07-08T00:00:00"/>
    <s v="Q3"/>
  </r>
  <r>
    <x v="3"/>
    <x v="8"/>
    <n v="1607"/>
    <s v="Ireland"/>
    <d v="2014-10-21T00:00:00"/>
    <s v="Q4"/>
  </r>
  <r>
    <x v="7"/>
    <x v="72"/>
    <n v="1617"/>
    <s v="Portugal"/>
    <d v="2015-03-10T00:00:00"/>
    <s v="Q1"/>
  </r>
  <r>
    <x v="3"/>
    <x v="48"/>
    <n v="1617"/>
    <s v="India"/>
    <d v="2015-11-23T00:00:00"/>
    <s v="Q4"/>
  </r>
  <r>
    <x v="5"/>
    <x v="67"/>
    <n v="1619"/>
    <s v="Ireland"/>
    <d v="2014-05-17T00:00:00"/>
    <s v="Q2"/>
  </r>
  <r>
    <x v="3"/>
    <x v="48"/>
    <n v="1621"/>
    <s v="Argentina"/>
    <d v="2014-03-01T00:00:00"/>
    <s v="Q1"/>
  </r>
  <r>
    <x v="0"/>
    <x v="76"/>
    <n v="1631"/>
    <s v="Brazil"/>
    <d v="2014-09-21T00:00:00"/>
    <s v="Q3"/>
  </r>
  <r>
    <x v="4"/>
    <x v="52"/>
    <n v="1640"/>
    <s v="Ireland"/>
    <d v="2015-03-22T00:00:00"/>
    <s v="Q1"/>
  </r>
  <r>
    <x v="0"/>
    <x v="0"/>
    <n v="1646"/>
    <s v="India"/>
    <d v="2015-07-11T00:00:00"/>
    <s v="Q3"/>
  </r>
  <r>
    <x v="4"/>
    <x v="27"/>
    <n v="1647"/>
    <s v="Japan"/>
    <d v="2014-12-17T00:00:00"/>
    <s v="Q4"/>
  </r>
  <r>
    <x v="2"/>
    <x v="64"/>
    <n v="1649"/>
    <s v="Argentina"/>
    <d v="2014-12-10T00:00:00"/>
    <s v="Q4"/>
  </r>
  <r>
    <x v="6"/>
    <x v="36"/>
    <n v="1651"/>
    <s v="Japan"/>
    <d v="2014-01-05T00:00:00"/>
    <s v="Q1"/>
  </r>
  <r>
    <x v="1"/>
    <x v="57"/>
    <n v="1654"/>
    <s v="France"/>
    <d v="2015-04-08T00:00:00"/>
    <s v="Q2"/>
  </r>
  <r>
    <x v="4"/>
    <x v="21"/>
    <n v="1656"/>
    <s v="Argentina"/>
    <d v="2014-08-14T00:00:00"/>
    <s v="Q3"/>
  </r>
  <r>
    <x v="2"/>
    <x v="6"/>
    <n v="1657"/>
    <s v="China"/>
    <d v="2015-07-10T00:00:00"/>
    <s v="Q3"/>
  </r>
  <r>
    <x v="5"/>
    <x v="60"/>
    <n v="1661"/>
    <s v="Japan"/>
    <d v="2015-04-08T00:00:00"/>
    <s v="Q2"/>
  </r>
  <r>
    <x v="4"/>
    <x v="27"/>
    <n v="1670"/>
    <s v="Brazil"/>
    <d v="2015-05-08T00:00:00"/>
    <s v="Q2"/>
  </r>
  <r>
    <x v="4"/>
    <x v="18"/>
    <n v="1674"/>
    <s v="China"/>
    <d v="2014-03-12T00:00:00"/>
    <s v="Q1"/>
  </r>
  <r>
    <x v="2"/>
    <x v="42"/>
    <n v="1677"/>
    <s v="China"/>
    <d v="2015-03-13T00:00:00"/>
    <s v="Q1"/>
  </r>
  <r>
    <x v="4"/>
    <x v="52"/>
    <n v="1682"/>
    <s v="South Africa"/>
    <d v="2015-10-19T00:00:00"/>
    <s v="Q4"/>
  </r>
  <r>
    <x v="2"/>
    <x v="13"/>
    <n v="1684"/>
    <s v="France"/>
    <d v="2015-11-23T00:00:00"/>
    <s v="Q4"/>
  </r>
  <r>
    <x v="5"/>
    <x v="23"/>
    <n v="1690"/>
    <s v="Brazil"/>
    <d v="2015-08-24T00:00:00"/>
    <s v="Q3"/>
  </r>
  <r>
    <x v="2"/>
    <x v="19"/>
    <n v="1696"/>
    <s v="China"/>
    <d v="2014-08-03T00:00:00"/>
    <s v="Q3"/>
  </r>
  <r>
    <x v="3"/>
    <x v="16"/>
    <n v="1697"/>
    <s v="Australia"/>
    <d v="2014-08-22T00:00:00"/>
    <s v="Q3"/>
  </r>
  <r>
    <x v="0"/>
    <x v="5"/>
    <n v="1698"/>
    <s v="Ireland"/>
    <d v="2014-10-17T00:00:00"/>
    <s v="Q4"/>
  </r>
  <r>
    <x v="4"/>
    <x v="50"/>
    <n v="1701"/>
    <s v="Japan"/>
    <d v="2015-07-13T00:00:00"/>
    <s v="Q3"/>
  </r>
  <r>
    <x v="4"/>
    <x v="54"/>
    <n v="1706"/>
    <s v="France"/>
    <d v="2015-03-04T00:00:00"/>
    <s v="Q1"/>
  </r>
  <r>
    <x v="7"/>
    <x v="43"/>
    <n v="1707"/>
    <s v="South Africa"/>
    <d v="2015-05-13T00:00:00"/>
    <s v="Q2"/>
  </r>
  <r>
    <x v="1"/>
    <x v="7"/>
    <n v="1710"/>
    <s v="Ireland"/>
    <d v="2014-12-15T00:00:00"/>
    <s v="Q4"/>
  </r>
  <r>
    <x v="5"/>
    <x v="77"/>
    <n v="1711"/>
    <s v="China"/>
    <d v="2014-08-24T00:00:00"/>
    <s v="Q3"/>
  </r>
  <r>
    <x v="2"/>
    <x v="51"/>
    <n v="1717"/>
    <s v="Argentina"/>
    <d v="2014-06-28T00:00:00"/>
    <s v="Q2"/>
  </r>
  <r>
    <x v="0"/>
    <x v="76"/>
    <n v="1726"/>
    <s v="India"/>
    <d v="2014-05-20T00:00:00"/>
    <s v="Q2"/>
  </r>
  <r>
    <x v="4"/>
    <x v="22"/>
    <n v="1731"/>
    <s v="Australia"/>
    <d v="2014-12-13T00:00:00"/>
    <s v="Q4"/>
  </r>
  <r>
    <x v="2"/>
    <x v="64"/>
    <n v="1732"/>
    <s v="France"/>
    <d v="2014-08-04T00:00:00"/>
    <s v="Q3"/>
  </r>
  <r>
    <x v="4"/>
    <x v="34"/>
    <n v="1740"/>
    <s v="Japan"/>
    <d v="2015-05-13T00:00:00"/>
    <s v="Q2"/>
  </r>
  <r>
    <x v="3"/>
    <x v="8"/>
    <n v="1741"/>
    <s v="France"/>
    <d v="2015-07-26T00:00:00"/>
    <s v="Q3"/>
  </r>
  <r>
    <x v="3"/>
    <x v="40"/>
    <n v="1742"/>
    <s v="France"/>
    <d v="2015-08-10T00:00:00"/>
    <s v="Q3"/>
  </r>
  <r>
    <x v="6"/>
    <x v="15"/>
    <n v="1746"/>
    <s v="France"/>
    <d v="2014-12-27T00:00:00"/>
    <s v="Q4"/>
  </r>
  <r>
    <x v="0"/>
    <x v="39"/>
    <n v="1755"/>
    <s v="Brazil"/>
    <d v="2015-12-12T00:00:00"/>
    <s v="Q4"/>
  </r>
  <r>
    <x v="5"/>
    <x v="23"/>
    <n v="1756"/>
    <s v="Brazil"/>
    <d v="2014-10-15T00:00:00"/>
    <s v="Q4"/>
  </r>
  <r>
    <x v="6"/>
    <x v="36"/>
    <n v="1763"/>
    <s v="Australia"/>
    <d v="2015-02-07T00:00:00"/>
    <s v="Q1"/>
  </r>
  <r>
    <x v="1"/>
    <x v="2"/>
    <n v="1770"/>
    <s v="Ireland"/>
    <d v="2014-10-03T00:00:00"/>
    <s v="Q4"/>
  </r>
  <r>
    <x v="2"/>
    <x v="51"/>
    <n v="1776"/>
    <s v="China"/>
    <d v="2015-03-08T00:00:00"/>
    <s v="Q1"/>
  </r>
  <r>
    <x v="4"/>
    <x v="9"/>
    <n v="1780"/>
    <s v="France"/>
    <d v="2015-01-24T00:00:00"/>
    <s v="Q1"/>
  </r>
  <r>
    <x v="1"/>
    <x v="1"/>
    <n v="1780"/>
    <s v="India"/>
    <d v="2014-08-08T00:00:00"/>
    <s v="Q3"/>
  </r>
  <r>
    <x v="0"/>
    <x v="5"/>
    <n v="1780"/>
    <s v="Brazil"/>
    <d v="2014-12-18T00:00:00"/>
    <s v="Q4"/>
  </r>
  <r>
    <x v="7"/>
    <x v="31"/>
    <n v="1783"/>
    <s v="Australia"/>
    <d v="2015-01-02T00:00:00"/>
    <s v="Q1"/>
  </r>
  <r>
    <x v="5"/>
    <x v="61"/>
    <n v="1784"/>
    <s v="South Africa"/>
    <d v="2015-11-17T00:00:00"/>
    <s v="Q4"/>
  </r>
  <r>
    <x v="3"/>
    <x v="75"/>
    <n v="1787"/>
    <s v="China"/>
    <d v="2015-02-09T00:00:00"/>
    <s v="Q1"/>
  </r>
  <r>
    <x v="5"/>
    <x v="61"/>
    <n v="1791"/>
    <s v="France"/>
    <d v="2014-08-17T00:00:00"/>
    <s v="Q3"/>
  </r>
  <r>
    <x v="2"/>
    <x v="13"/>
    <n v="1792"/>
    <s v="Ireland"/>
    <d v="2014-06-28T00:00:00"/>
    <s v="Q2"/>
  </r>
  <r>
    <x v="6"/>
    <x v="36"/>
    <n v="1792"/>
    <s v="Japan"/>
    <d v="2015-06-21T00:00:00"/>
    <s v="Q2"/>
  </r>
  <r>
    <x v="5"/>
    <x v="23"/>
    <n v="1793"/>
    <s v="Ireland"/>
    <d v="2015-07-21T00:00:00"/>
    <s v="Q3"/>
  </r>
  <r>
    <x v="0"/>
    <x v="33"/>
    <n v="1794"/>
    <s v="Brazil"/>
    <d v="2015-02-03T00:00:00"/>
    <s v="Q1"/>
  </r>
  <r>
    <x v="7"/>
    <x v="56"/>
    <n v="1809"/>
    <s v="South Africa"/>
    <d v="2015-01-07T00:00:00"/>
    <s v="Q1"/>
  </r>
  <r>
    <x v="1"/>
    <x v="68"/>
    <n v="1809"/>
    <s v="Ireland"/>
    <d v="2014-10-17T00:00:00"/>
    <s v="Q4"/>
  </r>
  <r>
    <x v="4"/>
    <x v="21"/>
    <n v="1811"/>
    <s v="Australia"/>
    <d v="2015-01-09T00:00:00"/>
    <s v="Q1"/>
  </r>
  <r>
    <x v="1"/>
    <x v="37"/>
    <n v="1813"/>
    <s v="Argentina"/>
    <d v="2014-02-19T00:00:00"/>
    <s v="Q1"/>
  </r>
  <r>
    <x v="7"/>
    <x v="70"/>
    <n v="1815"/>
    <s v="China"/>
    <d v="2014-05-03T00:00:00"/>
    <s v="Q2"/>
  </r>
  <r>
    <x v="1"/>
    <x v="46"/>
    <n v="1819"/>
    <s v="South Africa"/>
    <d v="2015-06-26T00:00:00"/>
    <s v="Q2"/>
  </r>
  <r>
    <x v="7"/>
    <x v="17"/>
    <n v="1822"/>
    <s v="Argentina"/>
    <d v="2015-01-03T00:00:00"/>
    <s v="Q1"/>
  </r>
  <r>
    <x v="6"/>
    <x v="12"/>
    <n v="1822"/>
    <s v="India"/>
    <d v="2015-07-20T00:00:00"/>
    <s v="Q3"/>
  </r>
  <r>
    <x v="6"/>
    <x v="41"/>
    <n v="1834"/>
    <s v="China"/>
    <d v="2014-06-11T00:00:00"/>
    <s v="Q2"/>
  </r>
  <r>
    <x v="4"/>
    <x v="24"/>
    <n v="1845"/>
    <s v="South Africa"/>
    <d v="2015-08-28T00:00:00"/>
    <s v="Q3"/>
  </r>
  <r>
    <x v="7"/>
    <x v="43"/>
    <n v="1849"/>
    <s v="India"/>
    <d v="2015-02-09T00:00:00"/>
    <s v="Q1"/>
  </r>
  <r>
    <x v="4"/>
    <x v="54"/>
    <n v="1854"/>
    <s v="France"/>
    <d v="2014-08-05T00:00:00"/>
    <s v="Q3"/>
  </r>
  <r>
    <x v="6"/>
    <x v="36"/>
    <n v="1854"/>
    <s v="Japan"/>
    <d v="2014-12-13T00:00:00"/>
    <s v="Q4"/>
  </r>
  <r>
    <x v="3"/>
    <x v="78"/>
    <n v="1862"/>
    <s v="France"/>
    <d v="2015-07-16T00:00:00"/>
    <s v="Q3"/>
  </r>
  <r>
    <x v="3"/>
    <x v="8"/>
    <n v="1866"/>
    <s v="South Africa"/>
    <d v="2015-03-24T00:00:00"/>
    <s v="Q1"/>
  </r>
  <r>
    <x v="4"/>
    <x v="22"/>
    <n v="1866"/>
    <s v="France"/>
    <d v="2015-08-09T00:00:00"/>
    <s v="Q3"/>
  </r>
  <r>
    <x v="5"/>
    <x v="11"/>
    <n v="1869"/>
    <s v="France"/>
    <d v="2015-09-02T00:00:00"/>
    <s v="Q3"/>
  </r>
  <r>
    <x v="1"/>
    <x v="47"/>
    <n v="1870"/>
    <s v="India"/>
    <d v="2015-05-14T00:00:00"/>
    <s v="Q2"/>
  </r>
  <r>
    <x v="2"/>
    <x v="73"/>
    <n v="1871"/>
    <s v="Ireland"/>
    <d v="2014-12-17T00:00:00"/>
    <s v="Q4"/>
  </r>
  <r>
    <x v="4"/>
    <x v="22"/>
    <n v="1873"/>
    <s v="Australia"/>
    <d v="2015-01-18T00:00:00"/>
    <s v="Q1"/>
  </r>
  <r>
    <x v="7"/>
    <x v="56"/>
    <n v="1880"/>
    <s v="Argentina"/>
    <d v="2015-10-04T00:00:00"/>
    <s v="Q4"/>
  </r>
  <r>
    <x v="2"/>
    <x v="4"/>
    <n v="1884"/>
    <s v="Portugal"/>
    <d v="2015-06-10T00:00:00"/>
    <s v="Q2"/>
  </r>
  <r>
    <x v="0"/>
    <x v="5"/>
    <n v="1886"/>
    <s v="Portugal"/>
    <d v="2015-04-07T00:00:00"/>
    <s v="Q2"/>
  </r>
  <r>
    <x v="0"/>
    <x v="0"/>
    <n v="1892"/>
    <s v="Ireland"/>
    <d v="2015-06-04T00:00:00"/>
    <s v="Q2"/>
  </r>
  <r>
    <x v="1"/>
    <x v="7"/>
    <n v="1893"/>
    <s v="Portugal"/>
    <d v="2014-08-26T00:00:00"/>
    <s v="Q3"/>
  </r>
  <r>
    <x v="2"/>
    <x v="62"/>
    <n v="1905"/>
    <s v="South Africa"/>
    <d v="2014-08-26T00:00:00"/>
    <s v="Q3"/>
  </r>
  <r>
    <x v="3"/>
    <x v="44"/>
    <n v="1912"/>
    <s v="Ireland"/>
    <d v="2015-04-15T00:00:00"/>
    <s v="Q2"/>
  </r>
  <r>
    <x v="5"/>
    <x v="63"/>
    <n v="1913"/>
    <s v="Portugal"/>
    <d v="2015-01-02T00:00:00"/>
    <s v="Q1"/>
  </r>
  <r>
    <x v="4"/>
    <x v="79"/>
    <n v="1919"/>
    <s v="Japan"/>
    <d v="2015-04-22T00:00:00"/>
    <s v="Q2"/>
  </r>
  <r>
    <x v="2"/>
    <x v="51"/>
    <n v="1921"/>
    <s v="South Africa"/>
    <d v="2015-03-11T00:00:00"/>
    <s v="Q1"/>
  </r>
  <r>
    <x v="4"/>
    <x v="21"/>
    <n v="1921"/>
    <s v="India"/>
    <d v="2015-04-19T00:00:00"/>
    <s v="Q2"/>
  </r>
  <r>
    <x v="1"/>
    <x v="2"/>
    <n v="1930"/>
    <s v="Australia"/>
    <d v="2015-08-21T00:00:00"/>
    <s v="Q3"/>
  </r>
  <r>
    <x v="2"/>
    <x v="4"/>
    <n v="1931"/>
    <s v="Japan"/>
    <d v="2014-05-23T00:00:00"/>
    <s v="Q2"/>
  </r>
  <r>
    <x v="0"/>
    <x v="3"/>
    <n v="1938"/>
    <s v="Japan"/>
    <d v="2014-02-13T00:00:00"/>
    <s v="Q1"/>
  </r>
  <r>
    <x v="5"/>
    <x v="69"/>
    <n v="1948"/>
    <s v="India"/>
    <d v="2015-05-10T00:00:00"/>
    <s v="Q2"/>
  </r>
  <r>
    <x v="5"/>
    <x v="69"/>
    <n v="1951"/>
    <s v="Japan"/>
    <d v="2014-01-26T00:00:00"/>
    <s v="Q1"/>
  </r>
  <r>
    <x v="2"/>
    <x v="45"/>
    <n v="1955"/>
    <s v="China"/>
    <d v="2014-01-18T00:00:00"/>
    <s v="Q1"/>
  </r>
  <r>
    <x v="0"/>
    <x v="30"/>
    <n v="1962"/>
    <s v="South Africa"/>
    <d v="2014-09-21T00:00:00"/>
    <s v="Q3"/>
  </r>
  <r>
    <x v="5"/>
    <x v="11"/>
    <n v="1964"/>
    <s v="France"/>
    <d v="2014-10-14T00:00:00"/>
    <s v="Q4"/>
  </r>
  <r>
    <x v="2"/>
    <x v="49"/>
    <n v="1966"/>
    <s v="Argentina"/>
    <d v="2014-04-03T00:00:00"/>
    <s v="Q2"/>
  </r>
  <r>
    <x v="5"/>
    <x v="77"/>
    <n v="1968"/>
    <s v="Argentina"/>
    <d v="2014-12-10T00:00:00"/>
    <s v="Q4"/>
  </r>
  <r>
    <x v="2"/>
    <x v="45"/>
    <n v="1970"/>
    <s v="Ireland"/>
    <d v="2014-08-12T00:00:00"/>
    <s v="Q3"/>
  </r>
  <r>
    <x v="5"/>
    <x v="60"/>
    <n v="1974"/>
    <s v="Argentina"/>
    <d v="2015-04-26T00:00:00"/>
    <s v="Q2"/>
  </r>
  <r>
    <x v="4"/>
    <x v="79"/>
    <n v="1976"/>
    <s v="Argentina"/>
    <d v="2014-10-05T00:00:00"/>
    <s v="Q4"/>
  </r>
  <r>
    <x v="6"/>
    <x v="12"/>
    <n v="1980"/>
    <s v="Japan"/>
    <d v="2015-11-08T00:00:00"/>
    <s v="Q4"/>
  </r>
  <r>
    <x v="4"/>
    <x v="21"/>
    <n v="1981"/>
    <s v="India"/>
    <d v="2015-12-12T00:00:00"/>
    <s v="Q4"/>
  </r>
  <r>
    <x v="5"/>
    <x v="63"/>
    <n v="1982"/>
    <s v="Ireland"/>
    <d v="2015-03-06T00:00:00"/>
    <s v="Q1"/>
  </r>
  <r>
    <x v="2"/>
    <x v="80"/>
    <n v="1991"/>
    <s v="China"/>
    <d v="2014-09-13T00:00:00"/>
    <s v="Q3"/>
  </r>
  <r>
    <x v="4"/>
    <x v="74"/>
    <n v="1994"/>
    <s v="Portugal"/>
    <d v="2014-01-14T00:00:00"/>
    <s v="Q1"/>
  </r>
  <r>
    <x v="4"/>
    <x v="79"/>
    <n v="1996"/>
    <s v="South Africa"/>
    <d v="2015-07-02T00:00:00"/>
    <s v="Q3"/>
  </r>
  <r>
    <x v="5"/>
    <x v="10"/>
    <n v="1997"/>
    <s v="Ireland"/>
    <d v="2015-05-03T00:00:00"/>
    <s v="Q2"/>
  </r>
  <r>
    <x v="2"/>
    <x v="64"/>
    <n v="2000"/>
    <s v="India"/>
    <d v="2015-03-16T00:00:00"/>
    <s v="Q1"/>
  </r>
  <r>
    <x v="4"/>
    <x v="50"/>
    <n v="2003"/>
    <s v="China"/>
    <d v="2014-10-19T00:00:00"/>
    <s v="Q4"/>
  </r>
  <r>
    <x v="4"/>
    <x v="27"/>
    <n v="2003"/>
    <s v="Australia"/>
    <d v="2015-11-09T00:00:00"/>
    <s v="Q4"/>
  </r>
  <r>
    <x v="0"/>
    <x v="66"/>
    <n v="2007"/>
    <s v="France"/>
    <d v="2015-11-15T00:00:00"/>
    <s v="Q4"/>
  </r>
  <r>
    <x v="5"/>
    <x v="65"/>
    <n v="2011"/>
    <s v="China"/>
    <d v="2015-03-22T00:00:00"/>
    <s v="Q1"/>
  </r>
  <r>
    <x v="2"/>
    <x v="42"/>
    <n v="2013"/>
    <s v="Ireland"/>
    <d v="2015-12-13T00:00:00"/>
    <s v="Q4"/>
  </r>
  <r>
    <x v="4"/>
    <x v="50"/>
    <n v="2015"/>
    <s v="South Africa"/>
    <d v="2015-06-18T00:00:00"/>
    <s v="Q2"/>
  </r>
  <r>
    <x v="4"/>
    <x v="9"/>
    <n v="2019"/>
    <s v="China"/>
    <d v="2014-01-02T00:00:00"/>
    <s v="Q1"/>
  </r>
  <r>
    <x v="7"/>
    <x v="43"/>
    <n v="2019"/>
    <s v="Brazil"/>
    <d v="2015-10-17T00:00:00"/>
    <s v="Q4"/>
  </r>
  <r>
    <x v="2"/>
    <x v="45"/>
    <n v="2022"/>
    <s v="South Africa"/>
    <d v="2014-10-05T00:00:00"/>
    <s v="Q4"/>
  </r>
  <r>
    <x v="2"/>
    <x v="45"/>
    <n v="2024"/>
    <s v="China"/>
    <d v="2015-05-03T00:00:00"/>
    <s v="Q2"/>
  </r>
  <r>
    <x v="2"/>
    <x v="45"/>
    <n v="2025"/>
    <s v="South Africa"/>
    <d v="2014-05-27T00:00:00"/>
    <s v="Q2"/>
  </r>
  <r>
    <x v="7"/>
    <x v="70"/>
    <n v="2028"/>
    <s v="Australia"/>
    <d v="2014-03-28T00:00:00"/>
    <s v="Q1"/>
  </r>
  <r>
    <x v="2"/>
    <x v="42"/>
    <n v="2028"/>
    <s v="Japan"/>
    <d v="2014-11-19T00:00:00"/>
    <s v="Q4"/>
  </r>
  <r>
    <x v="3"/>
    <x v="48"/>
    <n v="2030"/>
    <s v="Argentina"/>
    <d v="2015-08-25T00:00:00"/>
    <s v="Q3"/>
  </r>
  <r>
    <x v="0"/>
    <x v="33"/>
    <n v="2031"/>
    <s v="Argentina"/>
    <d v="2014-07-11T00:00:00"/>
    <s v="Q3"/>
  </r>
  <r>
    <x v="0"/>
    <x v="66"/>
    <n v="2034"/>
    <s v="France"/>
    <d v="2015-02-04T00:00:00"/>
    <s v="Q1"/>
  </r>
  <r>
    <x v="5"/>
    <x v="53"/>
    <n v="2037"/>
    <s v="Argentina"/>
    <d v="2015-07-24T00:00:00"/>
    <s v="Q3"/>
  </r>
  <r>
    <x v="5"/>
    <x v="60"/>
    <n v="2049"/>
    <s v="Argentina"/>
    <d v="2015-05-04T00:00:00"/>
    <s v="Q2"/>
  </r>
  <r>
    <x v="1"/>
    <x v="47"/>
    <n v="2055"/>
    <s v="Ireland"/>
    <d v="2014-06-20T00:00:00"/>
    <s v="Q2"/>
  </r>
  <r>
    <x v="3"/>
    <x v="48"/>
    <n v="2055"/>
    <s v="Portugal"/>
    <d v="2014-12-15T00:00:00"/>
    <s v="Q4"/>
  </r>
  <r>
    <x v="7"/>
    <x v="17"/>
    <n v="2062"/>
    <s v="Japan"/>
    <d v="2015-08-08T00:00:00"/>
    <s v="Q3"/>
  </r>
  <r>
    <x v="6"/>
    <x v="15"/>
    <n v="2070"/>
    <s v="Brazil"/>
    <d v="2014-06-25T00:00:00"/>
    <s v="Q2"/>
  </r>
  <r>
    <x v="3"/>
    <x v="26"/>
    <n v="2071"/>
    <s v="South Africa"/>
    <d v="2015-10-23T00:00:00"/>
    <s v="Q4"/>
  </r>
  <r>
    <x v="2"/>
    <x v="73"/>
    <n v="2074"/>
    <s v="South Africa"/>
    <d v="2015-07-09T00:00:00"/>
    <s v="Q3"/>
  </r>
  <r>
    <x v="4"/>
    <x v="27"/>
    <n v="2076"/>
    <s v="Portugal"/>
    <d v="2014-08-27T00:00:00"/>
    <s v="Q3"/>
  </r>
  <r>
    <x v="5"/>
    <x v="53"/>
    <n v="2078"/>
    <s v="Australia"/>
    <d v="2014-02-27T00:00:00"/>
    <s v="Q1"/>
  </r>
  <r>
    <x v="4"/>
    <x v="24"/>
    <n v="2082"/>
    <s v="India"/>
    <d v="2015-09-14T00:00:00"/>
    <s v="Q3"/>
  </r>
  <r>
    <x v="7"/>
    <x v="17"/>
    <n v="2082"/>
    <s v="South Africa"/>
    <d v="2014-11-12T00:00:00"/>
    <s v="Q4"/>
  </r>
  <r>
    <x v="1"/>
    <x v="35"/>
    <n v="2083"/>
    <s v="India"/>
    <d v="2015-10-03T00:00:00"/>
    <s v="Q4"/>
  </r>
  <r>
    <x v="1"/>
    <x v="35"/>
    <n v="2086"/>
    <s v="Brazil"/>
    <d v="2015-02-18T00:00:00"/>
    <s v="Q1"/>
  </r>
  <r>
    <x v="1"/>
    <x v="46"/>
    <n v="2087"/>
    <s v="South Africa"/>
    <d v="2015-01-23T00:00:00"/>
    <s v="Q1"/>
  </r>
  <r>
    <x v="5"/>
    <x v="23"/>
    <n v="2091"/>
    <s v="Portugal"/>
    <d v="2014-09-04T00:00:00"/>
    <s v="Q3"/>
  </r>
  <r>
    <x v="5"/>
    <x v="23"/>
    <n v="2093"/>
    <s v="Brazil"/>
    <d v="2014-09-11T00:00:00"/>
    <s v="Q3"/>
  </r>
  <r>
    <x v="3"/>
    <x v="40"/>
    <n v="2098"/>
    <s v="Brazil"/>
    <d v="2015-02-05T00:00:00"/>
    <s v="Q1"/>
  </r>
  <r>
    <x v="5"/>
    <x v="23"/>
    <n v="2102"/>
    <s v="Ireland"/>
    <d v="2014-11-01T00:00:00"/>
    <s v="Q4"/>
  </r>
  <r>
    <x v="2"/>
    <x v="59"/>
    <n v="2103"/>
    <s v="Portugal"/>
    <d v="2015-02-15T00:00:00"/>
    <s v="Q1"/>
  </r>
  <r>
    <x v="3"/>
    <x v="44"/>
    <n v="2103"/>
    <s v="Ireland"/>
    <d v="2014-02-06T00:00:00"/>
    <s v="Q1"/>
  </r>
  <r>
    <x v="2"/>
    <x v="42"/>
    <n v="2105"/>
    <s v="China"/>
    <d v="2014-10-26T00:00:00"/>
    <s v="Q4"/>
  </r>
  <r>
    <x v="1"/>
    <x v="68"/>
    <n v="2107"/>
    <s v="Argentina"/>
    <d v="2014-04-16T00:00:00"/>
    <s v="Q2"/>
  </r>
  <r>
    <x v="4"/>
    <x v="24"/>
    <n v="2110"/>
    <s v="South Africa"/>
    <d v="2015-06-04T00:00:00"/>
    <s v="Q2"/>
  </r>
  <r>
    <x v="3"/>
    <x v="78"/>
    <n v="2111"/>
    <s v="Ireland"/>
    <d v="2014-12-28T00:00:00"/>
    <s v="Q4"/>
  </r>
  <r>
    <x v="2"/>
    <x v="51"/>
    <n v="2120"/>
    <s v="Portugal"/>
    <d v="2014-02-25T00:00:00"/>
    <s v="Q1"/>
  </r>
  <r>
    <x v="7"/>
    <x v="72"/>
    <n v="2120"/>
    <s v="Argentina"/>
    <d v="2014-11-18T00:00:00"/>
    <s v="Q4"/>
  </r>
  <r>
    <x v="4"/>
    <x v="20"/>
    <n v="2124"/>
    <s v="India"/>
    <d v="2015-07-10T00:00:00"/>
    <s v="Q3"/>
  </r>
  <r>
    <x v="2"/>
    <x v="45"/>
    <n v="2130"/>
    <s v="Brazil"/>
    <d v="2015-10-21T00:00:00"/>
    <s v="Q4"/>
  </r>
  <r>
    <x v="7"/>
    <x v="17"/>
    <n v="2134"/>
    <s v="Portugal"/>
    <d v="2015-03-02T00:00:00"/>
    <s v="Q1"/>
  </r>
  <r>
    <x v="0"/>
    <x v="3"/>
    <n v="2135"/>
    <s v="China"/>
    <d v="2014-07-21T00:00:00"/>
    <s v="Q3"/>
  </r>
  <r>
    <x v="1"/>
    <x v="68"/>
    <n v="2138"/>
    <s v="Portugal"/>
    <d v="2015-05-04T00:00:00"/>
    <s v="Q2"/>
  </r>
  <r>
    <x v="2"/>
    <x v="64"/>
    <n v="2151"/>
    <s v="Argentina"/>
    <d v="2015-04-06T00:00:00"/>
    <s v="Q2"/>
  </r>
  <r>
    <x v="1"/>
    <x v="68"/>
    <n v="2152"/>
    <s v="Argentina"/>
    <d v="2015-04-04T00:00:00"/>
    <s v="Q2"/>
  </r>
  <r>
    <x v="4"/>
    <x v="34"/>
    <n v="2153"/>
    <s v="France"/>
    <d v="2015-08-17T00:00:00"/>
    <s v="Q3"/>
  </r>
  <r>
    <x v="2"/>
    <x v="42"/>
    <n v="2157"/>
    <s v="Argentina"/>
    <d v="2014-12-28T00:00:00"/>
    <s v="Q4"/>
  </r>
  <r>
    <x v="0"/>
    <x v="3"/>
    <n v="2158"/>
    <s v="Portugal"/>
    <d v="2014-09-03T00:00:00"/>
    <s v="Q3"/>
  </r>
  <r>
    <x v="7"/>
    <x v="17"/>
    <n v="2177"/>
    <s v="Ireland"/>
    <d v="2015-10-14T00:00:00"/>
    <s v="Q4"/>
  </r>
  <r>
    <x v="1"/>
    <x v="25"/>
    <n v="2178"/>
    <s v="Argentina"/>
    <d v="2015-06-10T00:00:00"/>
    <s v="Q2"/>
  </r>
  <r>
    <x v="7"/>
    <x v="56"/>
    <n v="2178"/>
    <s v="Portugal"/>
    <d v="2014-12-12T00:00:00"/>
    <s v="Q4"/>
  </r>
  <r>
    <x v="5"/>
    <x v="63"/>
    <n v="2179"/>
    <s v="Argentina"/>
    <d v="2014-12-17T00:00:00"/>
    <s v="Q4"/>
  </r>
  <r>
    <x v="2"/>
    <x v="49"/>
    <n v="2180"/>
    <s v="India"/>
    <d v="2015-08-06T00:00:00"/>
    <s v="Q3"/>
  </r>
  <r>
    <x v="5"/>
    <x v="67"/>
    <n v="2194"/>
    <s v="Australia"/>
    <d v="2014-02-22T00:00:00"/>
    <s v="Q1"/>
  </r>
  <r>
    <x v="1"/>
    <x v="47"/>
    <n v="2196"/>
    <s v="Japan"/>
    <d v="2014-06-27T00:00:00"/>
    <s v="Q2"/>
  </r>
  <r>
    <x v="0"/>
    <x v="30"/>
    <n v="2200"/>
    <s v="Australia"/>
    <d v="2015-01-16T00:00:00"/>
    <s v="Q1"/>
  </r>
  <r>
    <x v="5"/>
    <x v="55"/>
    <n v="2203"/>
    <s v="Japan"/>
    <d v="2015-01-28T00:00:00"/>
    <s v="Q1"/>
  </r>
  <r>
    <x v="1"/>
    <x v="57"/>
    <n v="2207"/>
    <s v="China"/>
    <d v="2014-03-19T00:00:00"/>
    <s v="Q1"/>
  </r>
  <r>
    <x v="5"/>
    <x v="23"/>
    <n v="2211"/>
    <s v="Australia"/>
    <d v="2014-09-20T00:00:00"/>
    <s v="Q3"/>
  </r>
  <r>
    <x v="2"/>
    <x v="6"/>
    <n v="2213"/>
    <s v="Portugal"/>
    <d v="2015-06-24T00:00:00"/>
    <s v="Q2"/>
  </r>
  <r>
    <x v="5"/>
    <x v="77"/>
    <n v="2214"/>
    <s v="South Africa"/>
    <d v="2015-06-28T00:00:00"/>
    <s v="Q2"/>
  </r>
  <r>
    <x v="1"/>
    <x v="35"/>
    <n v="2220"/>
    <s v="Ireland"/>
    <d v="2014-03-26T00:00:00"/>
    <s v="Q1"/>
  </r>
  <r>
    <x v="3"/>
    <x v="75"/>
    <n v="2221"/>
    <s v="Brazil"/>
    <d v="2014-02-27T00:00:00"/>
    <s v="Q1"/>
  </r>
  <r>
    <x v="0"/>
    <x v="33"/>
    <n v="2226"/>
    <s v="Portugal"/>
    <d v="2015-11-22T00:00:00"/>
    <s v="Q4"/>
  </r>
  <r>
    <x v="2"/>
    <x v="28"/>
    <n v="2227"/>
    <s v="Brazil"/>
    <d v="2015-12-14T00:00:00"/>
    <s v="Q4"/>
  </r>
  <r>
    <x v="4"/>
    <x v="21"/>
    <n v="2230"/>
    <s v="Portugal"/>
    <d v="2015-02-05T00:00:00"/>
    <s v="Q1"/>
  </r>
  <r>
    <x v="5"/>
    <x v="77"/>
    <n v="2230"/>
    <s v="China"/>
    <d v="2015-04-20T00:00:00"/>
    <s v="Q2"/>
  </r>
  <r>
    <x v="1"/>
    <x v="68"/>
    <n v="2234"/>
    <s v="Japan"/>
    <d v="2014-06-19T00:00:00"/>
    <s v="Q2"/>
  </r>
  <r>
    <x v="2"/>
    <x v="4"/>
    <n v="2235"/>
    <s v="India"/>
    <d v="2015-04-25T00:00:00"/>
    <s v="Q2"/>
  </r>
  <r>
    <x v="1"/>
    <x v="7"/>
    <n v="2236"/>
    <s v="Australia"/>
    <d v="2015-02-28T00:00:00"/>
    <s v="Q1"/>
  </r>
  <r>
    <x v="3"/>
    <x v="40"/>
    <n v="2236"/>
    <s v="Australia"/>
    <d v="2015-03-20T00:00:00"/>
    <s v="Q1"/>
  </r>
  <r>
    <x v="5"/>
    <x v="23"/>
    <n v="2236"/>
    <s v="Australia"/>
    <d v="2015-05-22T00:00:00"/>
    <s v="Q2"/>
  </r>
  <r>
    <x v="1"/>
    <x v="25"/>
    <n v="2239"/>
    <s v="South Africa"/>
    <d v="2015-02-16T00:00:00"/>
    <s v="Q1"/>
  </r>
  <r>
    <x v="4"/>
    <x v="52"/>
    <n v="2240"/>
    <s v="China"/>
    <d v="2014-04-05T00:00:00"/>
    <s v="Q2"/>
  </r>
  <r>
    <x v="4"/>
    <x v="50"/>
    <n v="2245"/>
    <s v="Japan"/>
    <d v="2015-06-10T00:00:00"/>
    <s v="Q2"/>
  </r>
  <r>
    <x v="4"/>
    <x v="24"/>
    <n v="2246"/>
    <s v="Argentina"/>
    <d v="2014-02-15T00:00:00"/>
    <s v="Q1"/>
  </r>
  <r>
    <x v="3"/>
    <x v="75"/>
    <n v="2246"/>
    <s v="India"/>
    <d v="2014-06-19T00:00:00"/>
    <s v="Q2"/>
  </r>
  <r>
    <x v="1"/>
    <x v="2"/>
    <n v="2250"/>
    <s v="Brazil"/>
    <d v="2014-03-25T00:00:00"/>
    <s v="Q1"/>
  </r>
  <r>
    <x v="3"/>
    <x v="44"/>
    <n v="2251"/>
    <s v="Argentina"/>
    <d v="2014-12-09T00:00:00"/>
    <s v="Q4"/>
  </r>
  <r>
    <x v="1"/>
    <x v="7"/>
    <n v="2254"/>
    <s v="France"/>
    <d v="2015-06-10T00:00:00"/>
    <s v="Q2"/>
  </r>
  <r>
    <x v="1"/>
    <x v="47"/>
    <n v="2260"/>
    <s v="Brazil"/>
    <d v="2014-11-12T00:00:00"/>
    <s v="Q4"/>
  </r>
  <r>
    <x v="4"/>
    <x v="24"/>
    <n v="2263"/>
    <s v="Japan"/>
    <d v="2015-03-03T00:00:00"/>
    <s v="Q1"/>
  </r>
  <r>
    <x v="3"/>
    <x v="58"/>
    <n v="2266"/>
    <s v="Brazil"/>
    <d v="2014-03-06T00:00:00"/>
    <s v="Q1"/>
  </r>
  <r>
    <x v="0"/>
    <x v="5"/>
    <n v="2266"/>
    <s v="India"/>
    <d v="2015-05-27T00:00:00"/>
    <s v="Q2"/>
  </r>
  <r>
    <x v="5"/>
    <x v="63"/>
    <n v="2266"/>
    <s v="India"/>
    <d v="2015-04-20T00:00:00"/>
    <s v="Q2"/>
  </r>
  <r>
    <x v="4"/>
    <x v="79"/>
    <n v="2267"/>
    <s v="China"/>
    <d v="2014-07-20T00:00:00"/>
    <s v="Q3"/>
  </r>
  <r>
    <x v="4"/>
    <x v="29"/>
    <n v="2275"/>
    <s v="Australia"/>
    <d v="2014-02-22T00:00:00"/>
    <s v="Q1"/>
  </r>
  <r>
    <x v="4"/>
    <x v="34"/>
    <n v="2275"/>
    <s v="Portugal"/>
    <d v="2014-02-03T00:00:00"/>
    <s v="Q1"/>
  </r>
  <r>
    <x v="2"/>
    <x v="19"/>
    <n v="2283"/>
    <s v="India"/>
    <d v="2015-06-27T00:00:00"/>
    <s v="Q2"/>
  </r>
  <r>
    <x v="5"/>
    <x v="60"/>
    <n v="2296"/>
    <s v="China"/>
    <d v="2015-11-16T00:00:00"/>
    <s v="Q4"/>
  </r>
  <r>
    <x v="6"/>
    <x v="12"/>
    <n v="2297"/>
    <s v="South Africa"/>
    <d v="2015-09-06T00:00:00"/>
    <s v="Q3"/>
  </r>
  <r>
    <x v="4"/>
    <x v="79"/>
    <n v="2298"/>
    <s v="Ireland"/>
    <d v="2015-06-10T00:00:00"/>
    <s v="Q2"/>
  </r>
  <r>
    <x v="2"/>
    <x v="64"/>
    <n v="2299"/>
    <s v="Portugal"/>
    <d v="2015-07-11T00:00:00"/>
    <s v="Q3"/>
  </r>
  <r>
    <x v="3"/>
    <x v="71"/>
    <n v="2305"/>
    <s v="South Africa"/>
    <d v="2014-01-05T00:00:00"/>
    <s v="Q1"/>
  </r>
  <r>
    <x v="4"/>
    <x v="18"/>
    <n v="2311"/>
    <s v="Portugal"/>
    <d v="2015-06-12T00:00:00"/>
    <s v="Q2"/>
  </r>
  <r>
    <x v="2"/>
    <x v="45"/>
    <n v="2312"/>
    <s v="France"/>
    <d v="2014-04-24T00:00:00"/>
    <s v="Q2"/>
  </r>
  <r>
    <x v="3"/>
    <x v="48"/>
    <n v="2313"/>
    <s v="China"/>
    <d v="2015-04-12T00:00:00"/>
    <s v="Q2"/>
  </r>
  <r>
    <x v="2"/>
    <x v="73"/>
    <n v="2317"/>
    <s v="India"/>
    <d v="2015-04-25T00:00:00"/>
    <s v="Q2"/>
  </r>
  <r>
    <x v="1"/>
    <x v="1"/>
    <n v="2323"/>
    <s v="Argentina"/>
    <d v="2014-03-15T00:00:00"/>
    <s v="Q1"/>
  </r>
  <r>
    <x v="0"/>
    <x v="39"/>
    <n v="2323"/>
    <s v="China"/>
    <d v="2014-04-28T00:00:00"/>
    <s v="Q2"/>
  </r>
  <r>
    <x v="3"/>
    <x v="78"/>
    <n v="2326"/>
    <s v="Australia"/>
    <d v="2014-05-13T00:00:00"/>
    <s v="Q2"/>
  </r>
  <r>
    <x v="2"/>
    <x v="80"/>
    <n v="2334"/>
    <s v="Australia"/>
    <d v="2015-11-11T00:00:00"/>
    <s v="Q4"/>
  </r>
  <r>
    <x v="5"/>
    <x v="65"/>
    <n v="2337"/>
    <s v="Japan"/>
    <d v="2015-03-12T00:00:00"/>
    <s v="Q1"/>
  </r>
  <r>
    <x v="5"/>
    <x v="77"/>
    <n v="2339"/>
    <s v="India"/>
    <d v="2015-05-15T00:00:00"/>
    <s v="Q2"/>
  </r>
  <r>
    <x v="1"/>
    <x v="47"/>
    <n v="2339"/>
    <s v="France"/>
    <d v="2014-06-06T00:00:00"/>
    <s v="Q2"/>
  </r>
  <r>
    <x v="7"/>
    <x v="17"/>
    <n v="2348"/>
    <s v="India"/>
    <d v="2014-10-22T00:00:00"/>
    <s v="Q4"/>
  </r>
  <r>
    <x v="3"/>
    <x v="26"/>
    <n v="2355"/>
    <s v="France"/>
    <d v="2014-08-22T00:00:00"/>
    <s v="Q3"/>
  </r>
  <r>
    <x v="1"/>
    <x v="1"/>
    <n v="2356"/>
    <s v="France"/>
    <d v="2014-05-25T00:00:00"/>
    <s v="Q2"/>
  </r>
  <r>
    <x v="0"/>
    <x v="3"/>
    <n v="2357"/>
    <s v="Portugal"/>
    <d v="2015-05-23T00:00:00"/>
    <s v="Q2"/>
  </r>
  <r>
    <x v="0"/>
    <x v="39"/>
    <n v="2361"/>
    <s v="India"/>
    <d v="2015-10-05T00:00:00"/>
    <s v="Q4"/>
  </r>
  <r>
    <x v="7"/>
    <x v="56"/>
    <n v="2368"/>
    <s v="Portugal"/>
    <d v="2014-04-23T00:00:00"/>
    <s v="Q2"/>
  </r>
  <r>
    <x v="3"/>
    <x v="8"/>
    <n v="2369"/>
    <s v="France"/>
    <d v="2015-09-11T00:00:00"/>
    <s v="Q3"/>
  </r>
  <r>
    <x v="4"/>
    <x v="20"/>
    <n v="2370"/>
    <s v="Brazil"/>
    <d v="2015-05-27T00:00:00"/>
    <s v="Q2"/>
  </r>
  <r>
    <x v="4"/>
    <x v="29"/>
    <n v="2379"/>
    <s v="Brazil"/>
    <d v="2015-02-01T00:00:00"/>
    <s v="Q1"/>
  </r>
  <r>
    <x v="4"/>
    <x v="29"/>
    <n v="2383"/>
    <s v="Argentina"/>
    <d v="2014-08-15T00:00:00"/>
    <s v="Q3"/>
  </r>
  <r>
    <x v="6"/>
    <x v="12"/>
    <n v="2385"/>
    <s v="Brazil"/>
    <d v="2015-06-25T00:00:00"/>
    <s v="Q2"/>
  </r>
  <r>
    <x v="4"/>
    <x v="34"/>
    <n v="2388"/>
    <s v="Argentina"/>
    <d v="2014-06-22T00:00:00"/>
    <s v="Q2"/>
  </r>
  <r>
    <x v="7"/>
    <x v="56"/>
    <n v="2388"/>
    <s v="Argentina"/>
    <d v="2014-06-03T00:00:00"/>
    <s v="Q2"/>
  </r>
  <r>
    <x v="2"/>
    <x v="32"/>
    <n v="2390"/>
    <s v="Japan"/>
    <d v="2014-01-18T00:00:00"/>
    <s v="Q1"/>
  </r>
  <r>
    <x v="2"/>
    <x v="49"/>
    <n v="2392"/>
    <s v="Ireland"/>
    <d v="2015-08-11T00:00:00"/>
    <s v="Q3"/>
  </r>
  <r>
    <x v="3"/>
    <x v="40"/>
    <n v="2401"/>
    <s v="China"/>
    <d v="2014-01-05T00:00:00"/>
    <s v="Q1"/>
  </r>
  <r>
    <x v="2"/>
    <x v="80"/>
    <n v="2403"/>
    <s v="France"/>
    <d v="2015-10-25T00:00:00"/>
    <s v="Q4"/>
  </r>
  <r>
    <x v="3"/>
    <x v="48"/>
    <n v="2405"/>
    <s v="Brazil"/>
    <d v="2015-05-03T00:00:00"/>
    <s v="Q2"/>
  </r>
  <r>
    <x v="4"/>
    <x v="74"/>
    <n v="2405"/>
    <s v="Australia"/>
    <d v="2014-09-09T00:00:00"/>
    <s v="Q3"/>
  </r>
  <r>
    <x v="7"/>
    <x v="70"/>
    <n v="2416"/>
    <s v="France"/>
    <d v="2014-09-23T00:00:00"/>
    <s v="Q3"/>
  </r>
  <r>
    <x v="2"/>
    <x v="73"/>
    <n v="2417"/>
    <s v="China"/>
    <d v="2014-08-21T00:00:00"/>
    <s v="Q3"/>
  </r>
  <r>
    <x v="4"/>
    <x v="79"/>
    <n v="2418"/>
    <s v="Japan"/>
    <d v="2015-12-05T00:00:00"/>
    <s v="Q4"/>
  </r>
  <r>
    <x v="1"/>
    <x v="37"/>
    <n v="2418"/>
    <s v="Portugal"/>
    <d v="2014-10-09T00:00:00"/>
    <s v="Q4"/>
  </r>
  <r>
    <x v="4"/>
    <x v="52"/>
    <n v="2426"/>
    <s v="Australia"/>
    <d v="2015-11-10T00:00:00"/>
    <s v="Q4"/>
  </r>
  <r>
    <x v="4"/>
    <x v="27"/>
    <n v="2431"/>
    <s v="Japan"/>
    <d v="2015-08-13T00:00:00"/>
    <s v="Q3"/>
  </r>
  <r>
    <x v="2"/>
    <x v="42"/>
    <n v="2433"/>
    <s v="Australia"/>
    <d v="2014-09-20T00:00:00"/>
    <s v="Q3"/>
  </r>
  <r>
    <x v="1"/>
    <x v="37"/>
    <n v="2433"/>
    <s v="Brazil"/>
    <d v="2014-10-14T00:00:00"/>
    <s v="Q4"/>
  </r>
  <r>
    <x v="5"/>
    <x v="69"/>
    <n v="2435"/>
    <s v="France"/>
    <d v="2014-12-17T00:00:00"/>
    <s v="Q4"/>
  </r>
  <r>
    <x v="4"/>
    <x v="18"/>
    <n v="2443"/>
    <s v="India"/>
    <d v="2014-10-14T00:00:00"/>
    <s v="Q4"/>
  </r>
  <r>
    <x v="5"/>
    <x v="23"/>
    <n v="2445"/>
    <s v="France"/>
    <d v="2015-06-10T00:00:00"/>
    <s v="Q2"/>
  </r>
  <r>
    <x v="2"/>
    <x v="51"/>
    <n v="2447"/>
    <s v="India"/>
    <d v="2015-04-03T00:00:00"/>
    <s v="Q2"/>
  </r>
  <r>
    <x v="5"/>
    <x v="23"/>
    <n v="2448"/>
    <s v="Japan"/>
    <d v="2014-05-23T00:00:00"/>
    <s v="Q2"/>
  </r>
  <r>
    <x v="4"/>
    <x v="24"/>
    <n v="2450"/>
    <s v="Brazil"/>
    <d v="2014-01-07T00:00:00"/>
    <s v="Q1"/>
  </r>
  <r>
    <x v="6"/>
    <x v="15"/>
    <n v="2451"/>
    <s v="Australia"/>
    <d v="2014-06-24T00:00:00"/>
    <s v="Q2"/>
  </r>
  <r>
    <x v="5"/>
    <x v="53"/>
    <n v="2455"/>
    <s v="Australia"/>
    <d v="2014-04-27T00:00:00"/>
    <s v="Q2"/>
  </r>
  <r>
    <x v="4"/>
    <x v="27"/>
    <n v="2457"/>
    <s v="Portugal"/>
    <d v="2014-11-09T00:00:00"/>
    <s v="Q4"/>
  </r>
  <r>
    <x v="4"/>
    <x v="22"/>
    <n v="2464"/>
    <s v="Portugal"/>
    <d v="2014-01-07T00:00:00"/>
    <s v="Q1"/>
  </r>
  <r>
    <x v="4"/>
    <x v="29"/>
    <n v="2465"/>
    <s v="Ireland"/>
    <d v="2014-08-21T00:00:00"/>
    <s v="Q3"/>
  </r>
  <r>
    <x v="2"/>
    <x v="28"/>
    <n v="2470"/>
    <s v="France"/>
    <d v="2014-11-10T00:00:00"/>
    <s v="Q4"/>
  </r>
  <r>
    <x v="4"/>
    <x v="20"/>
    <n v="2471"/>
    <s v="Brazil"/>
    <d v="2015-08-12T00:00:00"/>
    <s v="Q3"/>
  </r>
  <r>
    <x v="3"/>
    <x v="40"/>
    <n v="2477"/>
    <s v="Japan"/>
    <d v="2014-04-08T00:00:00"/>
    <s v="Q2"/>
  </r>
  <r>
    <x v="2"/>
    <x v="28"/>
    <n v="2484"/>
    <s v="Portugal"/>
    <d v="2014-02-01T00:00:00"/>
    <s v="Q1"/>
  </r>
  <r>
    <x v="4"/>
    <x v="22"/>
    <n v="2484"/>
    <s v="South Africa"/>
    <d v="2014-05-25T00:00:00"/>
    <s v="Q2"/>
  </r>
  <r>
    <x v="1"/>
    <x v="7"/>
    <n v="2485"/>
    <s v="Argentina"/>
    <d v="2015-06-10T00:00:00"/>
    <s v="Q2"/>
  </r>
  <r>
    <x v="4"/>
    <x v="34"/>
    <n v="2488"/>
    <s v="South Africa"/>
    <d v="2014-03-13T00:00:00"/>
    <s v="Q1"/>
  </r>
  <r>
    <x v="5"/>
    <x v="60"/>
    <n v="2488"/>
    <s v="Brazil"/>
    <d v="2015-08-02T00:00:00"/>
    <s v="Q3"/>
  </r>
  <r>
    <x v="7"/>
    <x v="43"/>
    <n v="2488"/>
    <s v="South Africa"/>
    <d v="2014-10-27T00:00:00"/>
    <s v="Q4"/>
  </r>
  <r>
    <x v="1"/>
    <x v="57"/>
    <n v="2493"/>
    <s v="India"/>
    <d v="2015-08-10T00:00:00"/>
    <s v="Q3"/>
  </r>
  <r>
    <x v="2"/>
    <x v="80"/>
    <n v="2495"/>
    <s v="South Africa"/>
    <d v="2015-05-19T00:00:00"/>
    <s v="Q2"/>
  </r>
  <r>
    <x v="4"/>
    <x v="20"/>
    <n v="2503"/>
    <s v="Argentina"/>
    <d v="2015-12-08T00:00:00"/>
    <s v="Q4"/>
  </r>
  <r>
    <x v="4"/>
    <x v="79"/>
    <n v="2509"/>
    <s v="Argentina"/>
    <d v="2015-05-25T00:00:00"/>
    <s v="Q2"/>
  </r>
  <r>
    <x v="2"/>
    <x v="80"/>
    <n v="2514"/>
    <s v="India"/>
    <d v="2014-04-17T00:00:00"/>
    <s v="Q2"/>
  </r>
  <r>
    <x v="2"/>
    <x v="45"/>
    <n v="2522"/>
    <s v="Brazil"/>
    <d v="2014-06-24T00:00:00"/>
    <s v="Q2"/>
  </r>
  <r>
    <x v="5"/>
    <x v="67"/>
    <n v="2524"/>
    <s v="Brazil"/>
    <d v="2014-05-22T00:00:00"/>
    <s v="Q2"/>
  </r>
  <r>
    <x v="4"/>
    <x v="50"/>
    <n v="2527"/>
    <s v="India"/>
    <d v="2014-10-04T00:00:00"/>
    <s v="Q4"/>
  </r>
  <r>
    <x v="1"/>
    <x v="68"/>
    <n v="2528"/>
    <s v="France"/>
    <d v="2015-07-07T00:00:00"/>
    <s v="Q3"/>
  </r>
  <r>
    <x v="6"/>
    <x v="15"/>
    <n v="2529"/>
    <s v="South Africa"/>
    <d v="2015-05-13T00:00:00"/>
    <s v="Q2"/>
  </r>
  <r>
    <x v="3"/>
    <x v="26"/>
    <n v="2532"/>
    <s v="China"/>
    <d v="2014-09-19T00:00:00"/>
    <s v="Q3"/>
  </r>
  <r>
    <x v="6"/>
    <x v="12"/>
    <n v="2533"/>
    <s v="France"/>
    <d v="2014-05-17T00:00:00"/>
    <s v="Q2"/>
  </r>
  <r>
    <x v="5"/>
    <x v="60"/>
    <n v="2544"/>
    <s v="Ireland"/>
    <d v="2015-12-24T00:00:00"/>
    <s v="Q4"/>
  </r>
  <r>
    <x v="1"/>
    <x v="7"/>
    <n v="2549"/>
    <s v="China"/>
    <d v="2015-12-18T00:00:00"/>
    <s v="Q4"/>
  </r>
  <r>
    <x v="0"/>
    <x v="0"/>
    <n v="2552"/>
    <s v="Brazil"/>
    <d v="2015-10-01T00:00:00"/>
    <s v="Q4"/>
  </r>
  <r>
    <x v="0"/>
    <x v="0"/>
    <n v="2556"/>
    <s v="China"/>
    <d v="2015-05-26T00:00:00"/>
    <s v="Q2"/>
  </r>
  <r>
    <x v="4"/>
    <x v="20"/>
    <n v="2558"/>
    <s v="Australia"/>
    <d v="2014-06-06T00:00:00"/>
    <s v="Q2"/>
  </r>
  <r>
    <x v="3"/>
    <x v="44"/>
    <n v="2563"/>
    <s v="China"/>
    <d v="2015-09-24T00:00:00"/>
    <s v="Q3"/>
  </r>
  <r>
    <x v="2"/>
    <x v="13"/>
    <n v="2566"/>
    <s v="Ireland"/>
    <d v="2015-08-16T00:00:00"/>
    <s v="Q3"/>
  </r>
  <r>
    <x v="4"/>
    <x v="24"/>
    <n v="2573"/>
    <s v="Portugal"/>
    <d v="2015-05-10T00:00:00"/>
    <s v="Q2"/>
  </r>
  <r>
    <x v="4"/>
    <x v="24"/>
    <n v="2574"/>
    <s v="France"/>
    <d v="2014-10-15T00:00:00"/>
    <s v="Q4"/>
  </r>
  <r>
    <x v="0"/>
    <x v="33"/>
    <n v="2578"/>
    <s v="Australia"/>
    <d v="2015-06-16T00:00:00"/>
    <s v="Q2"/>
  </r>
  <r>
    <x v="6"/>
    <x v="41"/>
    <n v="2586"/>
    <s v="Portugal"/>
    <d v="2014-11-08T00:00:00"/>
    <s v="Q4"/>
  </r>
  <r>
    <x v="4"/>
    <x v="74"/>
    <n v="2587"/>
    <s v="Argentina"/>
    <d v="2015-06-05T00:00:00"/>
    <s v="Q2"/>
  </r>
  <r>
    <x v="4"/>
    <x v="79"/>
    <n v="2589"/>
    <s v="Portugal"/>
    <d v="2015-10-14T00:00:00"/>
    <s v="Q4"/>
  </r>
  <r>
    <x v="3"/>
    <x v="8"/>
    <n v="2591"/>
    <s v="Brazil"/>
    <d v="2014-04-11T00:00:00"/>
    <s v="Q2"/>
  </r>
  <r>
    <x v="5"/>
    <x v="69"/>
    <n v="2603"/>
    <s v="India"/>
    <d v="2015-12-04T00:00:00"/>
    <s v="Q4"/>
  </r>
  <r>
    <x v="0"/>
    <x v="30"/>
    <n v="2604"/>
    <s v="Australia"/>
    <d v="2014-11-24T00:00:00"/>
    <s v="Q4"/>
  </r>
  <r>
    <x v="4"/>
    <x v="22"/>
    <n v="2606"/>
    <s v="India"/>
    <d v="2014-05-23T00:00:00"/>
    <s v="Q2"/>
  </r>
  <r>
    <x v="1"/>
    <x v="46"/>
    <n v="2606"/>
    <s v="France"/>
    <d v="2014-08-23T00:00:00"/>
    <s v="Q3"/>
  </r>
  <r>
    <x v="4"/>
    <x v="50"/>
    <n v="2612"/>
    <s v="Brazil"/>
    <d v="2014-01-13T00:00:00"/>
    <s v="Q1"/>
  </r>
  <r>
    <x v="0"/>
    <x v="0"/>
    <n v="2621"/>
    <s v="Australia"/>
    <d v="2014-10-11T00:00:00"/>
    <s v="Q4"/>
  </r>
  <r>
    <x v="0"/>
    <x v="14"/>
    <n v="2623"/>
    <s v="South Africa"/>
    <d v="2015-02-23T00:00:00"/>
    <s v="Q1"/>
  </r>
  <r>
    <x v="5"/>
    <x v="60"/>
    <n v="2626"/>
    <s v="Japan"/>
    <d v="2015-07-23T00:00:00"/>
    <s v="Q3"/>
  </r>
  <r>
    <x v="2"/>
    <x v="13"/>
    <n v="2629"/>
    <s v="Brazil"/>
    <d v="2014-02-09T00:00:00"/>
    <s v="Q1"/>
  </r>
  <r>
    <x v="2"/>
    <x v="62"/>
    <n v="2632"/>
    <s v="India"/>
    <d v="2014-11-28T00:00:00"/>
    <s v="Q4"/>
  </r>
  <r>
    <x v="2"/>
    <x v="42"/>
    <n v="2632"/>
    <s v="China"/>
    <d v="2015-12-01T00:00:00"/>
    <s v="Q4"/>
  </r>
  <r>
    <x v="2"/>
    <x v="59"/>
    <n v="2633"/>
    <s v="Australia"/>
    <d v="2015-05-13T00:00:00"/>
    <s v="Q2"/>
  </r>
  <r>
    <x v="0"/>
    <x v="66"/>
    <n v="2638"/>
    <s v="Australia"/>
    <d v="2014-05-06T00:00:00"/>
    <s v="Q2"/>
  </r>
  <r>
    <x v="5"/>
    <x v="55"/>
    <n v="2644"/>
    <s v="Japan"/>
    <d v="2015-06-11T00:00:00"/>
    <s v="Q2"/>
  </r>
  <r>
    <x v="1"/>
    <x v="47"/>
    <n v="2645"/>
    <s v="Japan"/>
    <d v="2014-09-25T00:00:00"/>
    <s v="Q3"/>
  </r>
  <r>
    <x v="7"/>
    <x v="70"/>
    <n v="2648"/>
    <s v="Japan"/>
    <d v="2014-12-25T00:00:00"/>
    <s v="Q4"/>
  </r>
  <r>
    <x v="4"/>
    <x v="24"/>
    <n v="2650"/>
    <s v="Australia"/>
    <d v="2014-08-18T00:00:00"/>
    <s v="Q3"/>
  </r>
  <r>
    <x v="6"/>
    <x v="36"/>
    <n v="2652"/>
    <s v="India"/>
    <d v="2015-01-13T00:00:00"/>
    <s v="Q1"/>
  </r>
  <r>
    <x v="0"/>
    <x v="5"/>
    <n v="2652"/>
    <s v="Portugal"/>
    <d v="2014-05-07T00:00:00"/>
    <s v="Q2"/>
  </r>
  <r>
    <x v="3"/>
    <x v="75"/>
    <n v="2670"/>
    <s v="Portugal"/>
    <d v="2014-06-20T00:00:00"/>
    <s v="Q2"/>
  </r>
  <r>
    <x v="1"/>
    <x v="25"/>
    <n v="2674"/>
    <s v="Australia"/>
    <d v="2014-01-26T00:00:00"/>
    <s v="Q1"/>
  </r>
  <r>
    <x v="4"/>
    <x v="22"/>
    <n v="2675"/>
    <s v="Ireland"/>
    <d v="2015-02-08T00:00:00"/>
    <s v="Q1"/>
  </r>
  <r>
    <x v="4"/>
    <x v="22"/>
    <n v="2685"/>
    <s v="Ireland"/>
    <d v="2015-07-28T00:00:00"/>
    <s v="Q3"/>
  </r>
  <r>
    <x v="2"/>
    <x v="80"/>
    <n v="2688"/>
    <s v="Japan"/>
    <d v="2015-07-17T00:00:00"/>
    <s v="Q3"/>
  </r>
  <r>
    <x v="0"/>
    <x v="66"/>
    <n v="2689"/>
    <s v="India"/>
    <d v="2015-07-11T00:00:00"/>
    <s v="Q3"/>
  </r>
  <r>
    <x v="0"/>
    <x v="76"/>
    <n v="2691"/>
    <s v="India"/>
    <d v="2015-06-10T00:00:00"/>
    <s v="Q2"/>
  </r>
  <r>
    <x v="4"/>
    <x v="54"/>
    <n v="2691"/>
    <s v="France"/>
    <d v="2014-11-07T00:00:00"/>
    <s v="Q4"/>
  </r>
  <r>
    <x v="5"/>
    <x v="55"/>
    <n v="2700"/>
    <s v="Argentina"/>
    <d v="2014-10-13T00:00:00"/>
    <s v="Q4"/>
  </r>
  <r>
    <x v="3"/>
    <x v="48"/>
    <n v="2702"/>
    <s v="Ireland"/>
    <d v="2014-09-08T00:00:00"/>
    <s v="Q3"/>
  </r>
  <r>
    <x v="5"/>
    <x v="63"/>
    <n v="2702"/>
    <s v="India"/>
    <d v="2014-11-08T00:00:00"/>
    <s v="Q4"/>
  </r>
  <r>
    <x v="3"/>
    <x v="75"/>
    <n v="2705"/>
    <s v="China"/>
    <d v="2015-04-27T00:00:00"/>
    <s v="Q2"/>
  </r>
  <r>
    <x v="3"/>
    <x v="75"/>
    <n v="2709"/>
    <s v="Argentina"/>
    <d v="2015-12-01T00:00:00"/>
    <s v="Q4"/>
  </r>
  <r>
    <x v="1"/>
    <x v="35"/>
    <n v="2710"/>
    <s v="Australia"/>
    <d v="2014-07-03T00:00:00"/>
    <s v="Q3"/>
  </r>
  <r>
    <x v="0"/>
    <x v="66"/>
    <n v="2721"/>
    <s v="Australia"/>
    <d v="2015-09-19T00:00:00"/>
    <s v="Q3"/>
  </r>
  <r>
    <x v="2"/>
    <x v="73"/>
    <n v="2723"/>
    <s v="Japan"/>
    <d v="2014-03-20T00:00:00"/>
    <s v="Q1"/>
  </r>
  <r>
    <x v="0"/>
    <x v="76"/>
    <n v="2734"/>
    <s v="France"/>
    <d v="2014-05-23T00:00:00"/>
    <s v="Q2"/>
  </r>
  <r>
    <x v="7"/>
    <x v="31"/>
    <n v="2738"/>
    <s v="Argentina"/>
    <d v="2015-02-04T00:00:00"/>
    <s v="Q1"/>
  </r>
  <r>
    <x v="0"/>
    <x v="0"/>
    <n v="2740"/>
    <s v="China"/>
    <d v="2014-11-23T00:00:00"/>
    <s v="Q4"/>
  </r>
  <r>
    <x v="1"/>
    <x v="2"/>
    <n v="2740"/>
    <s v="Argentina"/>
    <d v="2015-10-14T00:00:00"/>
    <s v="Q4"/>
  </r>
  <r>
    <x v="7"/>
    <x v="72"/>
    <n v="2744"/>
    <s v="India"/>
    <d v="2014-06-22T00:00:00"/>
    <s v="Q2"/>
  </r>
  <r>
    <x v="1"/>
    <x v="68"/>
    <n v="2748"/>
    <s v="France"/>
    <d v="2015-01-23T00:00:00"/>
    <s v="Q1"/>
  </r>
  <r>
    <x v="3"/>
    <x v="8"/>
    <n v="2748"/>
    <s v="China"/>
    <d v="2014-07-18T00:00:00"/>
    <s v="Q3"/>
  </r>
  <r>
    <x v="6"/>
    <x v="15"/>
    <n v="2750"/>
    <s v="India"/>
    <d v="2014-02-22T00:00:00"/>
    <s v="Q1"/>
  </r>
  <r>
    <x v="4"/>
    <x v="9"/>
    <n v="2752"/>
    <s v="Portugal"/>
    <d v="2014-04-24T00:00:00"/>
    <s v="Q2"/>
  </r>
  <r>
    <x v="5"/>
    <x v="67"/>
    <n v="2754"/>
    <s v="India"/>
    <d v="2015-08-03T00:00:00"/>
    <s v="Q3"/>
  </r>
  <r>
    <x v="5"/>
    <x v="69"/>
    <n v="2756"/>
    <s v="Japan"/>
    <d v="2015-02-23T00:00:00"/>
    <s v="Q1"/>
  </r>
  <r>
    <x v="4"/>
    <x v="22"/>
    <n v="2759"/>
    <s v="Japan"/>
    <d v="2014-11-10T00:00:00"/>
    <s v="Q4"/>
  </r>
  <r>
    <x v="5"/>
    <x v="65"/>
    <n v="2760"/>
    <s v="India"/>
    <d v="2014-04-03T00:00:00"/>
    <s v="Q2"/>
  </r>
  <r>
    <x v="6"/>
    <x v="12"/>
    <n v="2761"/>
    <s v="France"/>
    <d v="2015-03-15T00:00:00"/>
    <s v="Q1"/>
  </r>
  <r>
    <x v="0"/>
    <x v="66"/>
    <n v="2761"/>
    <s v="India"/>
    <d v="2015-11-13T00:00:00"/>
    <s v="Q4"/>
  </r>
  <r>
    <x v="2"/>
    <x v="59"/>
    <n v="2762"/>
    <s v="Argentina"/>
    <d v="2015-08-25T00:00:00"/>
    <s v="Q3"/>
  </r>
  <r>
    <x v="2"/>
    <x v="6"/>
    <n v="2763"/>
    <s v="Brazil"/>
    <d v="2014-07-19T00:00:00"/>
    <s v="Q3"/>
  </r>
  <r>
    <x v="4"/>
    <x v="18"/>
    <n v="2764"/>
    <s v="Portugal"/>
    <d v="2014-09-10T00:00:00"/>
    <s v="Q3"/>
  </r>
  <r>
    <x v="4"/>
    <x v="52"/>
    <n v="2772"/>
    <s v="South Africa"/>
    <d v="2014-04-20T00:00:00"/>
    <s v="Q2"/>
  </r>
  <r>
    <x v="4"/>
    <x v="24"/>
    <n v="2777"/>
    <s v="South Africa"/>
    <d v="2014-12-03T00:00:00"/>
    <s v="Q4"/>
  </r>
  <r>
    <x v="2"/>
    <x v="59"/>
    <n v="2781"/>
    <s v="Brazil"/>
    <d v="2015-07-27T00:00:00"/>
    <s v="Q3"/>
  </r>
  <r>
    <x v="7"/>
    <x v="31"/>
    <n v="2783"/>
    <s v="South Africa"/>
    <d v="2015-03-19T00:00:00"/>
    <s v="Q1"/>
  </r>
  <r>
    <x v="2"/>
    <x v="62"/>
    <n v="2785"/>
    <s v="France"/>
    <d v="2015-01-20T00:00:00"/>
    <s v="Q1"/>
  </r>
  <r>
    <x v="2"/>
    <x v="6"/>
    <n v="2796"/>
    <s v="Argentina"/>
    <d v="2014-06-18T00:00:00"/>
    <s v="Q2"/>
  </r>
  <r>
    <x v="0"/>
    <x v="30"/>
    <n v="2797"/>
    <s v="Brazil"/>
    <d v="2014-05-02T00:00:00"/>
    <s v="Q2"/>
  </r>
  <r>
    <x v="1"/>
    <x v="25"/>
    <n v="2801"/>
    <s v="India"/>
    <d v="2015-06-23T00:00:00"/>
    <s v="Q2"/>
  </r>
  <r>
    <x v="3"/>
    <x v="40"/>
    <n v="2806"/>
    <s v="Ireland"/>
    <d v="2015-02-07T00:00:00"/>
    <s v="Q1"/>
  </r>
  <r>
    <x v="4"/>
    <x v="29"/>
    <n v="2818"/>
    <s v="Argentina"/>
    <d v="2014-07-17T00:00:00"/>
    <s v="Q3"/>
  </r>
  <r>
    <x v="6"/>
    <x v="38"/>
    <n v="2822"/>
    <s v="Argentina"/>
    <d v="2014-08-06T00:00:00"/>
    <s v="Q3"/>
  </r>
  <r>
    <x v="4"/>
    <x v="27"/>
    <n v="2824"/>
    <s v="South Africa"/>
    <d v="2015-09-17T00:00:00"/>
    <s v="Q3"/>
  </r>
  <r>
    <x v="6"/>
    <x v="38"/>
    <n v="2828"/>
    <s v="India"/>
    <d v="2014-08-21T00:00:00"/>
    <s v="Q3"/>
  </r>
  <r>
    <x v="4"/>
    <x v="50"/>
    <n v="2845"/>
    <s v="China"/>
    <d v="2015-03-17T00:00:00"/>
    <s v="Q1"/>
  </r>
  <r>
    <x v="5"/>
    <x v="77"/>
    <n v="2848"/>
    <s v="Australia"/>
    <d v="2014-10-06T00:00:00"/>
    <s v="Q4"/>
  </r>
  <r>
    <x v="0"/>
    <x v="3"/>
    <n v="2849"/>
    <s v="France"/>
    <d v="2014-06-26T00:00:00"/>
    <s v="Q2"/>
  </r>
  <r>
    <x v="4"/>
    <x v="22"/>
    <n v="2849"/>
    <s v="France"/>
    <d v="2014-10-06T00:00:00"/>
    <s v="Q4"/>
  </r>
  <r>
    <x v="2"/>
    <x v="6"/>
    <n v="2853"/>
    <s v="Australia"/>
    <d v="2014-06-05T00:00:00"/>
    <s v="Q2"/>
  </r>
  <r>
    <x v="7"/>
    <x v="17"/>
    <n v="2861"/>
    <s v="Ireland"/>
    <d v="2015-09-12T00:00:00"/>
    <s v="Q3"/>
  </r>
  <r>
    <x v="2"/>
    <x v="4"/>
    <n v="2869"/>
    <s v="China"/>
    <d v="2015-05-21T00:00:00"/>
    <s v="Q2"/>
  </r>
  <r>
    <x v="5"/>
    <x v="69"/>
    <n v="2878"/>
    <s v="Portugal"/>
    <d v="2015-07-23T00:00:00"/>
    <s v="Q3"/>
  </r>
  <r>
    <x v="7"/>
    <x v="31"/>
    <n v="2889"/>
    <s v="Ireland"/>
    <d v="2014-08-15T00:00:00"/>
    <s v="Q3"/>
  </r>
  <r>
    <x v="2"/>
    <x v="51"/>
    <n v="2893"/>
    <s v="South Africa"/>
    <d v="2015-04-21T00:00:00"/>
    <s v="Q2"/>
  </r>
  <r>
    <x v="2"/>
    <x v="19"/>
    <n v="2895"/>
    <s v="Brazil"/>
    <d v="2014-06-08T00:00:00"/>
    <s v="Q2"/>
  </r>
  <r>
    <x v="2"/>
    <x v="62"/>
    <n v="2903"/>
    <s v="Argentina"/>
    <d v="2014-10-03T00:00:00"/>
    <s v="Q4"/>
  </r>
  <r>
    <x v="0"/>
    <x v="66"/>
    <n v="2908"/>
    <s v="Ireland"/>
    <d v="2015-10-05T00:00:00"/>
    <s v="Q4"/>
  </r>
  <r>
    <x v="5"/>
    <x v="23"/>
    <n v="2913"/>
    <s v="Australia"/>
    <d v="2014-07-12T00:00:00"/>
    <s v="Q3"/>
  </r>
  <r>
    <x v="2"/>
    <x v="59"/>
    <n v="2919"/>
    <s v="Ireland"/>
    <d v="2014-01-18T00:00:00"/>
    <s v="Q1"/>
  </r>
  <r>
    <x v="4"/>
    <x v="54"/>
    <n v="2925"/>
    <s v="Japan"/>
    <d v="2015-06-06T00:00:00"/>
    <s v="Q2"/>
  </r>
  <r>
    <x v="0"/>
    <x v="39"/>
    <n v="2931"/>
    <s v="Argentina"/>
    <d v="2014-06-11T00:00:00"/>
    <s v="Q2"/>
  </r>
  <r>
    <x v="4"/>
    <x v="50"/>
    <n v="2934"/>
    <s v="Argentina"/>
    <d v="2015-12-09T00:00:00"/>
    <s v="Q4"/>
  </r>
  <r>
    <x v="7"/>
    <x v="43"/>
    <n v="2936"/>
    <s v="Ireland"/>
    <d v="2015-01-04T00:00:00"/>
    <s v="Q1"/>
  </r>
  <r>
    <x v="3"/>
    <x v="71"/>
    <n v="2936"/>
    <s v="Japan"/>
    <d v="2014-05-02T00:00:00"/>
    <s v="Q2"/>
  </r>
  <r>
    <x v="1"/>
    <x v="2"/>
    <n v="2938"/>
    <s v="China"/>
    <d v="2015-01-23T00:00:00"/>
    <s v="Q1"/>
  </r>
  <r>
    <x v="1"/>
    <x v="35"/>
    <n v="2938"/>
    <s v="India"/>
    <d v="2015-08-14T00:00:00"/>
    <s v="Q3"/>
  </r>
  <r>
    <x v="4"/>
    <x v="79"/>
    <n v="2941"/>
    <s v="India"/>
    <d v="2014-12-02T00:00:00"/>
    <s v="Q4"/>
  </r>
  <r>
    <x v="5"/>
    <x v="11"/>
    <n v="2943"/>
    <s v="Portugal"/>
    <d v="2015-06-05T00:00:00"/>
    <s v="Q2"/>
  </r>
  <r>
    <x v="3"/>
    <x v="26"/>
    <n v="2945"/>
    <s v="Argentina"/>
    <d v="2014-03-01T00:00:00"/>
    <s v="Q1"/>
  </r>
  <r>
    <x v="5"/>
    <x v="69"/>
    <n v="2946"/>
    <s v="Australia"/>
    <d v="2014-11-08T00:00:00"/>
    <s v="Q4"/>
  </r>
  <r>
    <x v="4"/>
    <x v="34"/>
    <n v="2957"/>
    <s v="China"/>
    <d v="2014-02-01T00:00:00"/>
    <s v="Q1"/>
  </r>
  <r>
    <x v="6"/>
    <x v="12"/>
    <n v="2961"/>
    <s v="South Africa"/>
    <d v="2015-08-14T00:00:00"/>
    <s v="Q3"/>
  </r>
  <r>
    <x v="2"/>
    <x v="42"/>
    <n v="2963"/>
    <s v="Portugal"/>
    <d v="2015-04-12T00:00:00"/>
    <s v="Q2"/>
  </r>
  <r>
    <x v="4"/>
    <x v="9"/>
    <n v="2966"/>
    <s v="Brazil"/>
    <d v="2015-07-03T00:00:00"/>
    <s v="Q3"/>
  </r>
  <r>
    <x v="2"/>
    <x v="28"/>
    <n v="2966"/>
    <s v="Ireland"/>
    <d v="2015-07-22T00:00:00"/>
    <s v="Q3"/>
  </r>
  <r>
    <x v="4"/>
    <x v="79"/>
    <n v="2976"/>
    <s v="South Africa"/>
    <d v="2015-10-04T00:00:00"/>
    <s v="Q4"/>
  </r>
  <r>
    <x v="1"/>
    <x v="37"/>
    <n v="2978"/>
    <s v="Brazil"/>
    <d v="2014-01-22T00:00:00"/>
    <s v="Q1"/>
  </r>
  <r>
    <x v="2"/>
    <x v="73"/>
    <n v="2978"/>
    <s v="Argentina"/>
    <d v="2015-11-18T00:00:00"/>
    <s v="Q4"/>
  </r>
  <r>
    <x v="4"/>
    <x v="52"/>
    <n v="2981"/>
    <s v="Ireland"/>
    <d v="2015-12-19T00:00:00"/>
    <s v="Q4"/>
  </r>
  <r>
    <x v="3"/>
    <x v="71"/>
    <n v="2983"/>
    <s v="South Africa"/>
    <d v="2014-04-19T00:00:00"/>
    <s v="Q2"/>
  </r>
  <r>
    <x v="1"/>
    <x v="68"/>
    <n v="2995"/>
    <s v="India"/>
    <d v="2014-12-07T00:00:00"/>
    <s v="Q4"/>
  </r>
  <r>
    <x v="4"/>
    <x v="34"/>
    <n v="2996"/>
    <s v="France"/>
    <d v="2015-06-02T00:00:00"/>
    <s v="Q2"/>
  </r>
  <r>
    <x v="4"/>
    <x v="27"/>
    <n v="2996"/>
    <s v="Japan"/>
    <d v="2015-04-02T00:00:00"/>
    <s v="Q2"/>
  </r>
  <r>
    <x v="4"/>
    <x v="74"/>
    <n v="3001"/>
    <s v="Argentina"/>
    <d v="2015-06-20T00:00:00"/>
    <s v="Q2"/>
  </r>
  <r>
    <x v="2"/>
    <x v="45"/>
    <n v="3004"/>
    <s v="France"/>
    <d v="2015-09-19T00:00:00"/>
    <s v="Q3"/>
  </r>
  <r>
    <x v="3"/>
    <x v="26"/>
    <n v="3005"/>
    <s v="Portugal"/>
    <d v="2015-11-17T00:00:00"/>
    <s v="Q4"/>
  </r>
  <r>
    <x v="5"/>
    <x v="55"/>
    <n v="3009"/>
    <s v="Ireland"/>
    <d v="2014-03-15T00:00:00"/>
    <s v="Q1"/>
  </r>
  <r>
    <x v="0"/>
    <x v="0"/>
    <n v="3009"/>
    <s v="Argentina"/>
    <d v="2014-06-27T00:00:00"/>
    <s v="Q2"/>
  </r>
  <r>
    <x v="4"/>
    <x v="18"/>
    <n v="3020"/>
    <s v="India"/>
    <d v="2015-12-08T00:00:00"/>
    <s v="Q4"/>
  </r>
  <r>
    <x v="2"/>
    <x v="45"/>
    <n v="3033"/>
    <s v="South Africa"/>
    <d v="2014-08-23T00:00:00"/>
    <s v="Q3"/>
  </r>
  <r>
    <x v="5"/>
    <x v="63"/>
    <n v="3043"/>
    <s v="Portugal"/>
    <d v="2014-02-27T00:00:00"/>
    <s v="Q1"/>
  </r>
  <r>
    <x v="6"/>
    <x v="41"/>
    <n v="3044"/>
    <s v="Brazil"/>
    <d v="2015-01-12T00:00:00"/>
    <s v="Q1"/>
  </r>
  <r>
    <x v="4"/>
    <x v="22"/>
    <n v="3044"/>
    <s v="South Africa"/>
    <d v="2014-11-08T00:00:00"/>
    <s v="Q4"/>
  </r>
  <r>
    <x v="5"/>
    <x v="11"/>
    <n v="3046"/>
    <s v="South Africa"/>
    <d v="2015-02-20T00:00:00"/>
    <s v="Q1"/>
  </r>
  <r>
    <x v="2"/>
    <x v="64"/>
    <n v="3049"/>
    <s v="China"/>
    <d v="2014-10-15T00:00:00"/>
    <s v="Q4"/>
  </r>
  <r>
    <x v="1"/>
    <x v="2"/>
    <n v="3049"/>
    <s v="South Africa"/>
    <d v="2015-12-18T00:00:00"/>
    <s v="Q4"/>
  </r>
  <r>
    <x v="2"/>
    <x v="4"/>
    <n v="3051"/>
    <s v="Argentina"/>
    <d v="2014-08-03T00:00:00"/>
    <s v="Q3"/>
  </r>
  <r>
    <x v="4"/>
    <x v="20"/>
    <n v="3060"/>
    <s v="Ireland"/>
    <d v="2014-01-28T00:00:00"/>
    <s v="Q1"/>
  </r>
  <r>
    <x v="0"/>
    <x v="5"/>
    <n v="3064"/>
    <s v="Ireland"/>
    <d v="2015-08-25T00:00:00"/>
    <s v="Q3"/>
  </r>
  <r>
    <x v="2"/>
    <x v="73"/>
    <n v="3068"/>
    <s v="Ireland"/>
    <d v="2014-06-26T00:00:00"/>
    <s v="Q2"/>
  </r>
  <r>
    <x v="4"/>
    <x v="52"/>
    <n v="3068"/>
    <s v="France"/>
    <d v="2015-07-19T00:00:00"/>
    <s v="Q3"/>
  </r>
  <r>
    <x v="3"/>
    <x v="71"/>
    <n v="3074"/>
    <s v="Argentina"/>
    <d v="2015-08-01T00:00:00"/>
    <s v="Q3"/>
  </r>
  <r>
    <x v="2"/>
    <x v="28"/>
    <n v="3075"/>
    <s v="Argentina"/>
    <d v="2014-10-22T00:00:00"/>
    <s v="Q4"/>
  </r>
  <r>
    <x v="0"/>
    <x v="66"/>
    <n v="3079"/>
    <s v="France"/>
    <d v="2015-10-20T00:00:00"/>
    <s v="Q4"/>
  </r>
  <r>
    <x v="5"/>
    <x v="10"/>
    <n v="3086"/>
    <s v="Ireland"/>
    <d v="2015-03-09T00:00:00"/>
    <s v="Q1"/>
  </r>
  <r>
    <x v="3"/>
    <x v="71"/>
    <n v="3086"/>
    <s v="Portugal"/>
    <d v="2014-05-18T00:00:00"/>
    <s v="Q2"/>
  </r>
  <r>
    <x v="3"/>
    <x v="26"/>
    <n v="3089"/>
    <s v="Australia"/>
    <d v="2015-09-26T00:00:00"/>
    <s v="Q3"/>
  </r>
  <r>
    <x v="1"/>
    <x v="25"/>
    <n v="3090"/>
    <s v="Brazil"/>
    <d v="2015-04-26T00:00:00"/>
    <s v="Q2"/>
  </r>
  <r>
    <x v="2"/>
    <x v="6"/>
    <n v="3094"/>
    <s v="Brazil"/>
    <d v="2015-01-07T00:00:00"/>
    <s v="Q1"/>
  </r>
  <r>
    <x v="6"/>
    <x v="15"/>
    <n v="3095"/>
    <s v="China"/>
    <d v="2014-04-04T00:00:00"/>
    <s v="Q2"/>
  </r>
  <r>
    <x v="1"/>
    <x v="2"/>
    <n v="3095"/>
    <s v="Brazil"/>
    <d v="2014-10-19T00:00:00"/>
    <s v="Q4"/>
  </r>
  <r>
    <x v="1"/>
    <x v="47"/>
    <n v="3098"/>
    <s v="Brazil"/>
    <d v="2015-03-12T00:00:00"/>
    <s v="Q1"/>
  </r>
  <r>
    <x v="3"/>
    <x v="40"/>
    <n v="3104"/>
    <s v="Argentina"/>
    <d v="2014-09-12T00:00:00"/>
    <s v="Q3"/>
  </r>
  <r>
    <x v="3"/>
    <x v="78"/>
    <n v="3105"/>
    <s v="Japan"/>
    <d v="2014-03-08T00:00:00"/>
    <s v="Q1"/>
  </r>
  <r>
    <x v="4"/>
    <x v="22"/>
    <n v="3112"/>
    <s v="Brazil"/>
    <d v="2014-01-12T00:00:00"/>
    <s v="Q1"/>
  </r>
  <r>
    <x v="1"/>
    <x v="7"/>
    <n v="3115"/>
    <s v="Argentina"/>
    <d v="2014-05-23T00:00:00"/>
    <s v="Q2"/>
  </r>
  <r>
    <x v="3"/>
    <x v="48"/>
    <n v="3115"/>
    <s v="India"/>
    <d v="2014-04-21T00:00:00"/>
    <s v="Q2"/>
  </r>
  <r>
    <x v="5"/>
    <x v="61"/>
    <n v="3119"/>
    <s v="France"/>
    <d v="2015-06-05T00:00:00"/>
    <s v="Q2"/>
  </r>
  <r>
    <x v="6"/>
    <x v="36"/>
    <n v="3120"/>
    <s v="Brazil"/>
    <d v="2015-03-06T00:00:00"/>
    <s v="Q1"/>
  </r>
  <r>
    <x v="4"/>
    <x v="54"/>
    <n v="3124"/>
    <s v="France"/>
    <d v="2015-04-16T00:00:00"/>
    <s v="Q2"/>
  </r>
  <r>
    <x v="6"/>
    <x v="15"/>
    <n v="3127"/>
    <s v="Australia"/>
    <d v="2014-10-01T00:00:00"/>
    <s v="Q4"/>
  </r>
  <r>
    <x v="6"/>
    <x v="41"/>
    <n v="3131"/>
    <s v="South Africa"/>
    <d v="2014-04-25T00:00:00"/>
    <s v="Q2"/>
  </r>
  <r>
    <x v="3"/>
    <x v="48"/>
    <n v="3135"/>
    <s v="Brazil"/>
    <d v="2015-02-21T00:00:00"/>
    <s v="Q1"/>
  </r>
  <r>
    <x v="1"/>
    <x v="47"/>
    <n v="3137"/>
    <s v="South Africa"/>
    <d v="2014-01-24T00:00:00"/>
    <s v="Q1"/>
  </r>
  <r>
    <x v="1"/>
    <x v="57"/>
    <n v="3141"/>
    <s v="China"/>
    <d v="2015-12-12T00:00:00"/>
    <s v="Q4"/>
  </r>
  <r>
    <x v="4"/>
    <x v="52"/>
    <n v="3145"/>
    <s v="Japan"/>
    <d v="2015-02-03T00:00:00"/>
    <s v="Q1"/>
  </r>
  <r>
    <x v="6"/>
    <x v="41"/>
    <n v="3149"/>
    <s v="Argentina"/>
    <d v="2015-11-25T00:00:00"/>
    <s v="Q4"/>
  </r>
  <r>
    <x v="2"/>
    <x v="64"/>
    <n v="3156"/>
    <s v="China"/>
    <d v="2014-10-01T00:00:00"/>
    <s v="Q4"/>
  </r>
  <r>
    <x v="4"/>
    <x v="54"/>
    <n v="3157"/>
    <s v="Portugal"/>
    <d v="2014-07-19T00:00:00"/>
    <s v="Q3"/>
  </r>
  <r>
    <x v="4"/>
    <x v="20"/>
    <n v="3158"/>
    <s v="Australia"/>
    <d v="2015-04-28T00:00:00"/>
    <s v="Q2"/>
  </r>
  <r>
    <x v="5"/>
    <x v="10"/>
    <n v="3161"/>
    <s v="Argentina"/>
    <d v="2014-02-27T00:00:00"/>
    <s v="Q1"/>
  </r>
  <r>
    <x v="4"/>
    <x v="18"/>
    <n v="3176"/>
    <s v="Brazil"/>
    <d v="2014-07-25T00:00:00"/>
    <s v="Q3"/>
  </r>
  <r>
    <x v="2"/>
    <x v="32"/>
    <n v="3180"/>
    <s v="Argentina"/>
    <d v="2014-03-14T00:00:00"/>
    <s v="Q1"/>
  </r>
  <r>
    <x v="5"/>
    <x v="55"/>
    <n v="3182"/>
    <s v="Australia"/>
    <d v="2014-08-15T00:00:00"/>
    <s v="Q3"/>
  </r>
  <r>
    <x v="1"/>
    <x v="1"/>
    <n v="3186"/>
    <s v="Argentina"/>
    <d v="2014-06-02T00:00:00"/>
    <s v="Q2"/>
  </r>
  <r>
    <x v="2"/>
    <x v="51"/>
    <n v="3193"/>
    <s v="France"/>
    <d v="2014-08-19T00:00:00"/>
    <s v="Q3"/>
  </r>
  <r>
    <x v="3"/>
    <x v="71"/>
    <n v="3195"/>
    <s v="China"/>
    <d v="2014-05-03T00:00:00"/>
    <s v="Q2"/>
  </r>
  <r>
    <x v="3"/>
    <x v="58"/>
    <n v="3199"/>
    <s v="Japan"/>
    <d v="2015-02-03T00:00:00"/>
    <s v="Q1"/>
  </r>
  <r>
    <x v="3"/>
    <x v="8"/>
    <n v="3202"/>
    <s v="Brazil"/>
    <d v="2014-04-20T00:00:00"/>
    <s v="Q2"/>
  </r>
  <r>
    <x v="1"/>
    <x v="68"/>
    <n v="3208"/>
    <s v="Australia"/>
    <d v="2015-05-28T00:00:00"/>
    <s v="Q2"/>
  </r>
  <r>
    <x v="3"/>
    <x v="16"/>
    <n v="3216"/>
    <s v="China"/>
    <d v="2014-05-26T00:00:00"/>
    <s v="Q2"/>
  </r>
  <r>
    <x v="0"/>
    <x v="3"/>
    <n v="3221"/>
    <s v="Portugal"/>
    <d v="2015-06-09T00:00:00"/>
    <s v="Q2"/>
  </r>
  <r>
    <x v="0"/>
    <x v="76"/>
    <n v="3224"/>
    <s v="China"/>
    <d v="2015-12-21T00:00:00"/>
    <s v="Q4"/>
  </r>
  <r>
    <x v="1"/>
    <x v="68"/>
    <n v="3225"/>
    <s v="Argentina"/>
    <d v="2014-01-02T00:00:00"/>
    <s v="Q1"/>
  </r>
  <r>
    <x v="0"/>
    <x v="0"/>
    <n v="3232"/>
    <s v="Brazil"/>
    <d v="2014-03-26T00:00:00"/>
    <s v="Q1"/>
  </r>
  <r>
    <x v="1"/>
    <x v="25"/>
    <n v="3232"/>
    <s v="Argentina"/>
    <d v="2014-11-06T00:00:00"/>
    <s v="Q4"/>
  </r>
  <r>
    <x v="0"/>
    <x v="66"/>
    <n v="3235"/>
    <s v="Ireland"/>
    <d v="2014-02-14T00:00:00"/>
    <s v="Q1"/>
  </r>
  <r>
    <x v="1"/>
    <x v="2"/>
    <n v="3241"/>
    <s v="Argentina"/>
    <d v="2014-03-21T00:00:00"/>
    <s v="Q1"/>
  </r>
  <r>
    <x v="4"/>
    <x v="27"/>
    <n v="3244"/>
    <s v="Brazil"/>
    <d v="2015-09-03T00:00:00"/>
    <s v="Q3"/>
  </r>
  <r>
    <x v="2"/>
    <x v="59"/>
    <n v="3245"/>
    <s v="Argentina"/>
    <d v="2015-02-11T00:00:00"/>
    <s v="Q1"/>
  </r>
  <r>
    <x v="5"/>
    <x v="60"/>
    <n v="3251"/>
    <s v="China"/>
    <d v="2014-05-01T00:00:00"/>
    <s v="Q2"/>
  </r>
  <r>
    <x v="3"/>
    <x v="40"/>
    <n v="3253"/>
    <s v="Argentina"/>
    <d v="2015-07-08T00:00:00"/>
    <s v="Q3"/>
  </r>
  <r>
    <x v="0"/>
    <x v="30"/>
    <n v="3256"/>
    <s v="France"/>
    <d v="2015-11-24T00:00:00"/>
    <s v="Q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07741-E848-4AC3-9198-4C89D260283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CATEGORIES">
  <location ref="H8:J17" firstHeaderRow="1" firstDataRow="1" firstDataCol="2"/>
  <pivotFields count="7">
    <pivotField axis="axisRow" compact="0" outline="0" subtotalTop="0" showAll="0">
      <items count="9">
        <item sd="0" x="4"/>
        <item sd="0" x="0"/>
        <item sd="0" x="5"/>
        <item sd="0" x="7"/>
        <item sd="0" x="2"/>
        <item sd="0" x="1"/>
        <item sd="0" x="6"/>
        <item sd="0" x="3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82">
        <item x="66"/>
        <item x="2"/>
        <item x="57"/>
        <item x="21"/>
        <item x="32"/>
        <item x="11"/>
        <item x="52"/>
        <item x="78"/>
        <item x="18"/>
        <item x="40"/>
        <item x="45"/>
        <item x="58"/>
        <item x="12"/>
        <item x="56"/>
        <item x="42"/>
        <item x="28"/>
        <item x="71"/>
        <item x="43"/>
        <item x="29"/>
        <item x="67"/>
        <item x="16"/>
        <item x="46"/>
        <item x="10"/>
        <item x="48"/>
        <item x="41"/>
        <item x="53"/>
        <item x="60"/>
        <item x="0"/>
        <item x="31"/>
        <item x="76"/>
        <item x="51"/>
        <item x="47"/>
        <item x="24"/>
        <item x="63"/>
        <item x="19"/>
        <item x="59"/>
        <item x="70"/>
        <item x="4"/>
        <item x="8"/>
        <item x="39"/>
        <item x="14"/>
        <item x="49"/>
        <item x="20"/>
        <item x="38"/>
        <item x="26"/>
        <item x="34"/>
        <item x="36"/>
        <item x="69"/>
        <item x="3"/>
        <item x="33"/>
        <item x="55"/>
        <item x="50"/>
        <item x="23"/>
        <item x="65"/>
        <item x="80"/>
        <item x="27"/>
        <item x="74"/>
        <item x="22"/>
        <item x="25"/>
        <item x="35"/>
        <item x="54"/>
        <item x="30"/>
        <item x="37"/>
        <item x="64"/>
        <item x="13"/>
        <item x="77"/>
        <item x="73"/>
        <item x="44"/>
        <item x="17"/>
        <item x="1"/>
        <item x="9"/>
        <item x="15"/>
        <item x="6"/>
        <item x="72"/>
        <item x="75"/>
        <item x="79"/>
        <item x="7"/>
        <item x="5"/>
        <item x="61"/>
        <item x="62"/>
        <item x="6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8">
        <item x="3"/>
        <item sd="0" x="0"/>
        <item sd="0" x="4"/>
        <item sd="0" x="5"/>
        <item sd="0" x="2"/>
        <item sd="0" x="1"/>
        <item n="OTHERS" sd="0" x="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REVENUE" fld="2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59BC2-C99D-4E16-8645-F94C27A669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H5" firstHeaderRow="1" firstDataRow="1" firstDataCol="0"/>
  <pivotFields count="7">
    <pivotField showAll="0">
      <items count="9">
        <item x="4"/>
        <item x="0"/>
        <item x="5"/>
        <item x="7"/>
        <item x="2"/>
        <item x="1"/>
        <item x="6"/>
        <item x="3"/>
        <item t="default"/>
      </items>
    </pivotField>
    <pivotField showAll="0"/>
    <pivotField dataField="1" showAll="0"/>
    <pivotField showAll="0"/>
    <pivotField numFmtId="14" showAll="0"/>
    <pivotField showAll="0"/>
    <pivotField showAll="0">
      <items count="8">
        <item x="3"/>
        <item x="0"/>
        <item x="4"/>
        <item x="5"/>
        <item x="2"/>
        <item x="1"/>
        <item x="6"/>
        <item t="default"/>
      </items>
    </pivotField>
  </pivotFields>
  <rowItems count="1">
    <i/>
  </rowItems>
  <colItems count="1">
    <i/>
  </colItems>
  <dataFields count="1">
    <dataField name="Count of Sale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B36DD-2B84-48B5-B249-AF8FA493F19C}" name="Table2" displayName="Table2" ref="C70:D82" totalsRowShown="0" headerRowDxfId="9" headerRowBorderDxfId="8" tableBorderDxfId="7" totalsRowBorderDxfId="6">
  <autoFilter ref="C70:D82" xr:uid="{E9EB36DD-2B84-48B5-B249-AF8FA493F19C}"/>
  <tableColumns count="2">
    <tableColumn id="1" xr3:uid="{D9CE1045-2D70-44BA-8261-A5BDB8A392BE}" name="month" dataDxfId="5"/>
    <tableColumn id="2" xr3:uid="{32458CF1-1687-47E3-90F3-24CDBDB80028}" name="sal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4F5C3-41D0-4600-A2FB-F3345FDA1D48}" name="Table1" displayName="Table1" ref="A3:F701" totalsRowShown="0">
  <autoFilter ref="A3:F701" xr:uid="{0254F5C3-41D0-4600-A2FB-F3345FDA1D48}"/>
  <tableColumns count="6">
    <tableColumn id="1" xr3:uid="{896927B1-AF5B-475D-BA5B-86F28B104A70}" name="Category"/>
    <tableColumn id="2" xr3:uid="{2D7398ED-6DA6-4994-BB05-F91F0E7D0A65}" name="Product"/>
    <tableColumn id="3" xr3:uid="{AD5B4209-F985-4EAE-A256-A781E7BDF09C}" name="Sales"/>
    <tableColumn id="4" xr3:uid="{C845E4F1-338A-4D43-AC1D-DF62C7DB4A1F}" name="Ship to Country"/>
    <tableColumn id="5" xr3:uid="{FA6BE254-01DC-4EA8-9151-A00EE1578C32}" name="Date of Purchase" dataDxfId="3"/>
    <tableColumn id="6" xr3:uid="{CEAA60DF-F61D-4580-BDF8-69F7D342C33A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702B-30A7-4AE4-9610-BD77E7F56B50}">
  <dimension ref="A1:H166"/>
  <sheetViews>
    <sheetView topLeftCell="A107" zoomScale="71" zoomScaleNormal="71" workbookViewId="0">
      <selection activeCell="L144" sqref="L144"/>
    </sheetView>
  </sheetViews>
  <sheetFormatPr defaultRowHeight="13.8" x14ac:dyDescent="0.25"/>
  <cols>
    <col min="1" max="1" width="8.88671875" style="2"/>
    <col min="2" max="2" width="36.33203125" style="2" customWidth="1"/>
    <col min="3" max="3" width="17.21875" style="2" bestFit="1" customWidth="1"/>
    <col min="4" max="4" width="15.5546875" style="2" customWidth="1"/>
    <col min="5" max="5" width="13.77734375" style="2" customWidth="1"/>
    <col min="6" max="6" width="12.33203125" style="2" customWidth="1"/>
    <col min="7" max="7" width="15.88671875" style="2" customWidth="1"/>
    <col min="8" max="8" width="13.6640625" style="2" customWidth="1"/>
    <col min="9" max="16384" width="8.88671875" style="2"/>
  </cols>
  <sheetData>
    <row r="1" spans="1:6" x14ac:dyDescent="0.25">
      <c r="A1" s="1" t="s">
        <v>75</v>
      </c>
    </row>
    <row r="2" spans="1:6" x14ac:dyDescent="0.25">
      <c r="B2" s="2" t="s">
        <v>76</v>
      </c>
    </row>
    <row r="3" spans="1:6" x14ac:dyDescent="0.25">
      <c r="A3" s="2" t="s">
        <v>77</v>
      </c>
      <c r="B3" s="3" t="s">
        <v>78</v>
      </c>
      <c r="D3" s="3" t="s">
        <v>78</v>
      </c>
      <c r="F3" s="4" t="s">
        <v>78</v>
      </c>
    </row>
    <row r="4" spans="1:6" x14ac:dyDescent="0.25">
      <c r="B4" s="3">
        <v>798</v>
      </c>
      <c r="D4" s="3">
        <v>798</v>
      </c>
      <c r="F4" s="4">
        <v>798</v>
      </c>
    </row>
    <row r="5" spans="1:6" x14ac:dyDescent="0.25">
      <c r="B5" s="3">
        <v>6789</v>
      </c>
      <c r="D5" s="3" t="s">
        <v>79</v>
      </c>
      <c r="F5" s="4">
        <v>6789</v>
      </c>
    </row>
    <row r="6" spans="1:6" x14ac:dyDescent="0.25">
      <c r="B6" s="3">
        <v>900</v>
      </c>
      <c r="D6" s="3">
        <v>900</v>
      </c>
      <c r="F6" s="4">
        <v>900</v>
      </c>
    </row>
    <row r="7" spans="1:6" x14ac:dyDescent="0.25">
      <c r="B7" s="3">
        <v>2345</v>
      </c>
      <c r="D7" s="3" t="s">
        <v>80</v>
      </c>
      <c r="F7" s="4">
        <v>2345</v>
      </c>
    </row>
    <row r="8" spans="1:6" x14ac:dyDescent="0.25">
      <c r="F8" s="4">
        <v>8908765</v>
      </c>
    </row>
    <row r="9" spans="1:6" x14ac:dyDescent="0.25">
      <c r="F9" s="4">
        <v>2870654321</v>
      </c>
    </row>
    <row r="11" spans="1:6" x14ac:dyDescent="0.25">
      <c r="A11" s="1" t="s">
        <v>82</v>
      </c>
    </row>
    <row r="12" spans="1:6" x14ac:dyDescent="0.25">
      <c r="A12" s="2" t="s">
        <v>84</v>
      </c>
    </row>
    <row r="13" spans="1:6" x14ac:dyDescent="0.25">
      <c r="B13" s="6" t="s">
        <v>83</v>
      </c>
    </row>
    <row r="14" spans="1:6" x14ac:dyDescent="0.25">
      <c r="B14" s="3" t="s">
        <v>78</v>
      </c>
    </row>
    <row r="15" spans="1:6" x14ac:dyDescent="0.25">
      <c r="B15" s="3">
        <v>798</v>
      </c>
      <c r="F15" s="2" t="s">
        <v>81</v>
      </c>
    </row>
    <row r="16" spans="1:6" x14ac:dyDescent="0.25">
      <c r="B16" s="3">
        <v>6789</v>
      </c>
    </row>
    <row r="17" spans="1:7" x14ac:dyDescent="0.25">
      <c r="B17" s="3">
        <v>900</v>
      </c>
    </row>
    <row r="18" spans="1:7" x14ac:dyDescent="0.25">
      <c r="B18" s="3">
        <v>2345</v>
      </c>
    </row>
    <row r="19" spans="1:7" x14ac:dyDescent="0.25">
      <c r="B19" s="3">
        <v>8908765</v>
      </c>
    </row>
    <row r="20" spans="1:7" x14ac:dyDescent="0.25">
      <c r="B20" s="3">
        <v>2870654321</v>
      </c>
    </row>
    <row r="22" spans="1:7" x14ac:dyDescent="0.25">
      <c r="A22" s="1" t="s">
        <v>85</v>
      </c>
    </row>
    <row r="23" spans="1:7" x14ac:dyDescent="0.25">
      <c r="A23" s="1"/>
      <c r="D23" s="63" t="s">
        <v>91</v>
      </c>
      <c r="E23" s="64"/>
      <c r="F23" s="64"/>
      <c r="G23" s="64"/>
    </row>
    <row r="24" spans="1:7" x14ac:dyDescent="0.25">
      <c r="B24" s="32" t="s">
        <v>86</v>
      </c>
      <c r="C24" s="32" t="s">
        <v>87</v>
      </c>
      <c r="D24" s="26" t="s">
        <v>88</v>
      </c>
      <c r="E24" s="26" t="s">
        <v>89</v>
      </c>
      <c r="F24" s="26" t="s">
        <v>90</v>
      </c>
      <c r="G24" s="26" t="s">
        <v>92</v>
      </c>
    </row>
    <row r="25" spans="1:7" x14ac:dyDescent="0.25">
      <c r="B25" s="27">
        <v>0.40277777777777779</v>
      </c>
      <c r="C25" s="27">
        <v>0.53472222222222221</v>
      </c>
      <c r="D25" s="28">
        <f>C25-B25</f>
        <v>0.13194444444444442</v>
      </c>
      <c r="E25" s="29">
        <f>C25-B25</f>
        <v>0.13194444444444442</v>
      </c>
      <c r="F25" s="30">
        <f>C25-B25</f>
        <v>0.13194444444444442</v>
      </c>
      <c r="G25" s="31">
        <f>C25-B25</f>
        <v>0.13194444444444442</v>
      </c>
    </row>
    <row r="28" spans="1:7" x14ac:dyDescent="0.25">
      <c r="A28" s="7" t="s">
        <v>97</v>
      </c>
    </row>
    <row r="29" spans="1:7" x14ac:dyDescent="0.25">
      <c r="B29" s="2" t="s">
        <v>93</v>
      </c>
      <c r="C29" s="8">
        <v>28087</v>
      </c>
    </row>
    <row r="30" spans="1:7" x14ac:dyDescent="0.25">
      <c r="B30" s="2" t="s">
        <v>94</v>
      </c>
      <c r="C30" s="8">
        <f ca="1">TODAY()</f>
        <v>46251</v>
      </c>
    </row>
    <row r="32" spans="1:7" x14ac:dyDescent="0.25">
      <c r="B32" s="2" t="s">
        <v>95</v>
      </c>
      <c r="C32" s="2">
        <f ca="1">C30-C29</f>
        <v>18164</v>
      </c>
      <c r="D32" s="2" t="s">
        <v>96</v>
      </c>
    </row>
    <row r="33" spans="1:5" x14ac:dyDescent="0.25">
      <c r="C33" s="9">
        <v>17815</v>
      </c>
    </row>
    <row r="34" spans="1:5" x14ac:dyDescent="0.25">
      <c r="C34" s="10">
        <f ca="1">C32/365.25</f>
        <v>49.730321697467488</v>
      </c>
    </row>
    <row r="36" spans="1:5" x14ac:dyDescent="0.25">
      <c r="A36" s="7" t="s">
        <v>98</v>
      </c>
    </row>
    <row r="38" spans="1:5" x14ac:dyDescent="0.25">
      <c r="B38" s="8">
        <v>28087</v>
      </c>
      <c r="C38" s="2" t="s">
        <v>99</v>
      </c>
    </row>
    <row r="39" spans="1:5" x14ac:dyDescent="0.25">
      <c r="B39" s="11">
        <v>28087</v>
      </c>
    </row>
    <row r="41" spans="1:5" ht="20.399999999999999" x14ac:dyDescent="0.35">
      <c r="A41" s="12" t="s">
        <v>101</v>
      </c>
    </row>
    <row r="42" spans="1:5" x14ac:dyDescent="0.25">
      <c r="A42" s="1" t="s">
        <v>100</v>
      </c>
    </row>
    <row r="43" spans="1:5" x14ac:dyDescent="0.25">
      <c r="B43" s="14" t="s">
        <v>10</v>
      </c>
      <c r="C43" s="14" t="s">
        <v>105</v>
      </c>
      <c r="D43" s="14" t="s">
        <v>106</v>
      </c>
      <c r="E43" s="14" t="s">
        <v>107</v>
      </c>
    </row>
    <row r="44" spans="1:5" x14ac:dyDescent="0.25">
      <c r="B44" s="25" t="s">
        <v>102</v>
      </c>
      <c r="C44" s="25" t="str">
        <f>LEFT($B44,E44-1)</f>
        <v>VIRAT</v>
      </c>
      <c r="D44" s="25" t="str">
        <f>RIGHT($B44,LEN(B44)-LEN(C44)-1)</f>
        <v>KOHLI</v>
      </c>
      <c r="E44" s="25">
        <f>FIND(" ",B44)</f>
        <v>6</v>
      </c>
    </row>
    <row r="45" spans="1:5" x14ac:dyDescent="0.25">
      <c r="B45" s="25" t="s">
        <v>103</v>
      </c>
      <c r="C45" s="25" t="str">
        <f t="shared" ref="C45:C46" si="0">LEFT($B45,E45-1)</f>
        <v>JASPREET</v>
      </c>
      <c r="D45" s="25" t="str">
        <f t="shared" ref="D45:D46" si="1">RIGHT($B45,LEN(B45)-LEN(C45)-1)</f>
        <v>BUMRAH</v>
      </c>
      <c r="E45" s="25">
        <f t="shared" ref="E45:E46" si="2">FIND(" ",B45)</f>
        <v>9</v>
      </c>
    </row>
    <row r="46" spans="1:5" x14ac:dyDescent="0.25">
      <c r="B46" s="25" t="s">
        <v>104</v>
      </c>
      <c r="C46" s="25" t="str">
        <f t="shared" si="0"/>
        <v>KL</v>
      </c>
      <c r="D46" s="25" t="str">
        <f t="shared" si="1"/>
        <v>RAHUL</v>
      </c>
      <c r="E46" s="25">
        <f t="shared" si="2"/>
        <v>3</v>
      </c>
    </row>
    <row r="49" spans="1:8" x14ac:dyDescent="0.25">
      <c r="B49" s="14" t="s">
        <v>10</v>
      </c>
      <c r="C49" s="14" t="s">
        <v>105</v>
      </c>
      <c r="D49" s="14" t="s">
        <v>106</v>
      </c>
      <c r="E49" s="14" t="s">
        <v>122</v>
      </c>
      <c r="F49" s="13" t="s">
        <v>110</v>
      </c>
      <c r="G49" s="13" t="s">
        <v>111</v>
      </c>
      <c r="H49" s="13"/>
    </row>
    <row r="50" spans="1:8" x14ac:dyDescent="0.25">
      <c r="B50" s="25" t="s">
        <v>11</v>
      </c>
      <c r="C50" s="25" t="str">
        <f>LEFT(B50,FIND(" ",B50)-1)</f>
        <v>ROHIT</v>
      </c>
      <c r="D50" s="25" t="str">
        <f>MID(B50,FIND(" ",B50)+1,FIND(" ",B50,FIND(" ",B50)+1)-FIND(" ",B50)-1)</f>
        <v>SHARMA</v>
      </c>
      <c r="E50" s="25" t="str">
        <f>RIGHT(B50,LEN(B50)-FIND("JERSEY",B50)-5)</f>
        <v>45</v>
      </c>
      <c r="F50" s="2">
        <f>FIND(" ",B50)</f>
        <v>6</v>
      </c>
      <c r="G50" s="2">
        <f>FIND(" ",B50,FIND(" ",B50)+1)</f>
        <v>13</v>
      </c>
    </row>
    <row r="51" spans="1:8" x14ac:dyDescent="0.25">
      <c r="B51" s="25" t="s">
        <v>108</v>
      </c>
      <c r="C51" s="25" t="str">
        <f t="shared" ref="C51:C53" si="3">LEFT(B51,FIND(" ",B51)-1)</f>
        <v>KL</v>
      </c>
      <c r="D51" s="25" t="str">
        <f t="shared" ref="D51:D53" si="4">MID(B51,FIND(" ",B51)+1,FIND(" ",B51,FIND(" ",B51)+1)-FIND(" ",B51)-1)</f>
        <v>RAHUL</v>
      </c>
      <c r="E51" s="25" t="str">
        <f t="shared" ref="E51:E53" si="5">RIGHT(B51,LEN(B51)-FIND("JERSEY",B51)-5)</f>
        <v xml:space="preserve"> 01</v>
      </c>
      <c r="F51" s="2">
        <f t="shared" ref="F51:F52" si="6">FIND(" ",B51)</f>
        <v>3</v>
      </c>
      <c r="G51" s="2">
        <f t="shared" ref="G51:G52" si="7">FIND(" ",B51,FIND(" ",B51)+1)</f>
        <v>9</v>
      </c>
    </row>
    <row r="52" spans="1:8" x14ac:dyDescent="0.25">
      <c r="B52" s="25" t="s">
        <v>109</v>
      </c>
      <c r="C52" s="25" t="str">
        <f t="shared" si="3"/>
        <v>JASPREET</v>
      </c>
      <c r="D52" s="25" t="str">
        <f t="shared" si="4"/>
        <v>BURAH</v>
      </c>
      <c r="E52" s="25" t="str">
        <f t="shared" si="5"/>
        <v xml:space="preserve"> 93</v>
      </c>
      <c r="F52" s="2">
        <f t="shared" si="6"/>
        <v>9</v>
      </c>
      <c r="G52" s="2">
        <f t="shared" si="7"/>
        <v>15</v>
      </c>
    </row>
    <row r="53" spans="1:8" x14ac:dyDescent="0.25">
      <c r="B53" s="25" t="s">
        <v>14</v>
      </c>
      <c r="C53" s="25" t="str">
        <f t="shared" si="3"/>
        <v>PRITHVI</v>
      </c>
      <c r="D53" s="25" t="str">
        <f t="shared" si="4"/>
        <v>SHAW</v>
      </c>
      <c r="E53" s="25" t="str">
        <f t="shared" si="5"/>
        <v>100</v>
      </c>
    </row>
    <row r="55" spans="1:8" x14ac:dyDescent="0.25">
      <c r="A55" s="1" t="s">
        <v>112</v>
      </c>
    </row>
    <row r="56" spans="1:8" x14ac:dyDescent="0.25">
      <c r="B56" s="2" t="s">
        <v>113</v>
      </c>
    </row>
    <row r="58" spans="1:8" x14ac:dyDescent="0.25">
      <c r="B58" s="5" t="s">
        <v>114</v>
      </c>
    </row>
    <row r="59" spans="1:8" x14ac:dyDescent="0.25">
      <c r="B59" s="2" t="s">
        <v>117</v>
      </c>
    </row>
    <row r="60" spans="1:8" x14ac:dyDescent="0.25">
      <c r="C60" s="14" t="s">
        <v>118</v>
      </c>
      <c r="D60" s="14" t="s">
        <v>119</v>
      </c>
      <c r="E60" s="14" t="s">
        <v>120</v>
      </c>
      <c r="F60" s="14" t="s">
        <v>121</v>
      </c>
    </row>
    <row r="61" spans="1:8" x14ac:dyDescent="0.25">
      <c r="C61" s="15">
        <v>101</v>
      </c>
      <c r="D61" s="15" t="s">
        <v>124</v>
      </c>
      <c r="E61" s="15" t="s">
        <v>125</v>
      </c>
      <c r="F61" s="15">
        <v>567</v>
      </c>
    </row>
    <row r="62" spans="1:8" x14ac:dyDescent="0.25">
      <c r="C62" s="15">
        <v>102</v>
      </c>
      <c r="D62" s="15" t="s">
        <v>123</v>
      </c>
      <c r="E62" s="15" t="s">
        <v>126</v>
      </c>
      <c r="F62" s="15">
        <v>890</v>
      </c>
    </row>
    <row r="63" spans="1:8" x14ac:dyDescent="0.25">
      <c r="B63" s="2" t="s">
        <v>127</v>
      </c>
    </row>
    <row r="65" spans="2:7" x14ac:dyDescent="0.25">
      <c r="B65" s="5" t="s">
        <v>115</v>
      </c>
    </row>
    <row r="66" spans="2:7" x14ac:dyDescent="0.25">
      <c r="B66" s="2" t="s">
        <v>128</v>
      </c>
    </row>
    <row r="67" spans="2:7" x14ac:dyDescent="0.25">
      <c r="C67" s="14" t="s">
        <v>118</v>
      </c>
      <c r="D67" s="15">
        <v>101</v>
      </c>
      <c r="E67" s="15">
        <v>102</v>
      </c>
    </row>
    <row r="68" spans="2:7" x14ac:dyDescent="0.25">
      <c r="C68" s="14" t="s">
        <v>119</v>
      </c>
      <c r="D68" s="15" t="s">
        <v>124</v>
      </c>
      <c r="E68" s="15" t="s">
        <v>123</v>
      </c>
    </row>
    <row r="69" spans="2:7" x14ac:dyDescent="0.25">
      <c r="C69" s="14" t="s">
        <v>120</v>
      </c>
      <c r="D69" s="15" t="s">
        <v>125</v>
      </c>
      <c r="E69" s="15" t="s">
        <v>126</v>
      </c>
    </row>
    <row r="70" spans="2:7" x14ac:dyDescent="0.25">
      <c r="C70" s="14" t="s">
        <v>121</v>
      </c>
      <c r="D70" s="15">
        <v>567</v>
      </c>
      <c r="E70" s="15">
        <v>890</v>
      </c>
    </row>
    <row r="71" spans="2:7" x14ac:dyDescent="0.25">
      <c r="B71" s="2" t="s">
        <v>129</v>
      </c>
      <c r="C71" s="16"/>
    </row>
    <row r="72" spans="2:7" x14ac:dyDescent="0.25">
      <c r="C72" s="16"/>
    </row>
    <row r="73" spans="2:7" x14ac:dyDescent="0.25">
      <c r="B73" s="5" t="s">
        <v>116</v>
      </c>
    </row>
    <row r="74" spans="2:7" x14ac:dyDescent="0.25">
      <c r="B74" s="2" t="s">
        <v>130</v>
      </c>
    </row>
    <row r="75" spans="2:7" x14ac:dyDescent="0.25">
      <c r="C75" s="3"/>
      <c r="D75" s="64" t="s">
        <v>131</v>
      </c>
      <c r="E75" s="64"/>
      <c r="F75" s="64"/>
      <c r="G75" s="64"/>
    </row>
    <row r="76" spans="2:7" x14ac:dyDescent="0.25">
      <c r="C76" s="14" t="s">
        <v>5</v>
      </c>
      <c r="D76" s="14" t="s">
        <v>132</v>
      </c>
      <c r="E76" s="14" t="s">
        <v>133</v>
      </c>
      <c r="F76" s="14" t="s">
        <v>134</v>
      </c>
      <c r="G76" s="14" t="s">
        <v>135</v>
      </c>
    </row>
    <row r="77" spans="2:7" x14ac:dyDescent="0.25">
      <c r="C77" s="14">
        <v>2011</v>
      </c>
      <c r="D77" s="15">
        <v>474</v>
      </c>
      <c r="E77" s="15">
        <v>329</v>
      </c>
      <c r="F77" s="15">
        <v>427</v>
      </c>
      <c r="G77" s="15">
        <v>402</v>
      </c>
    </row>
    <row r="78" spans="2:7" x14ac:dyDescent="0.25">
      <c r="C78" s="14">
        <v>2012</v>
      </c>
      <c r="D78" s="15">
        <v>439</v>
      </c>
      <c r="E78" s="15">
        <v>474</v>
      </c>
      <c r="F78" s="15">
        <v>379</v>
      </c>
      <c r="G78" s="15">
        <v>330</v>
      </c>
    </row>
    <row r="79" spans="2:7" x14ac:dyDescent="0.25">
      <c r="C79" s="14">
        <v>2013</v>
      </c>
      <c r="D79" s="15">
        <v>344</v>
      </c>
      <c r="E79" s="15">
        <v>493</v>
      </c>
      <c r="F79" s="15">
        <v>447</v>
      </c>
      <c r="G79" s="15">
        <v>348</v>
      </c>
    </row>
    <row r="80" spans="2:7" x14ac:dyDescent="0.25">
      <c r="C80" s="14">
        <v>2014</v>
      </c>
      <c r="D80" s="15">
        <v>369</v>
      </c>
      <c r="E80" s="15">
        <v>405</v>
      </c>
      <c r="F80" s="15">
        <v>355</v>
      </c>
      <c r="G80" s="15">
        <v>309</v>
      </c>
    </row>
    <row r="83" spans="1:2" x14ac:dyDescent="0.25">
      <c r="A83" s="1" t="s">
        <v>136</v>
      </c>
    </row>
    <row r="84" spans="1:2" x14ac:dyDescent="0.25">
      <c r="B84" s="2" t="s">
        <v>146</v>
      </c>
    </row>
    <row r="86" spans="1:2" x14ac:dyDescent="0.25">
      <c r="A86" s="7" t="s">
        <v>137</v>
      </c>
    </row>
    <row r="87" spans="1:2" x14ac:dyDescent="0.25">
      <c r="B87" s="5" t="s">
        <v>138</v>
      </c>
    </row>
    <row r="88" spans="1:2" x14ac:dyDescent="0.25">
      <c r="B88" s="2" t="s">
        <v>139</v>
      </c>
    </row>
    <row r="89" spans="1:2" x14ac:dyDescent="0.25">
      <c r="B89" s="2" t="s">
        <v>144</v>
      </c>
    </row>
    <row r="91" spans="1:2" x14ac:dyDescent="0.25">
      <c r="B91" s="5" t="s">
        <v>140</v>
      </c>
    </row>
    <row r="92" spans="1:2" x14ac:dyDescent="0.25">
      <c r="B92" s="2" t="s">
        <v>141</v>
      </c>
    </row>
    <row r="93" spans="1:2" x14ac:dyDescent="0.25">
      <c r="B93" s="2" t="s">
        <v>145</v>
      </c>
    </row>
    <row r="94" spans="1:2" x14ac:dyDescent="0.25">
      <c r="B94" s="2" t="s">
        <v>164</v>
      </c>
    </row>
    <row r="96" spans="1:2" x14ac:dyDescent="0.25">
      <c r="B96" s="5" t="s">
        <v>142</v>
      </c>
    </row>
    <row r="97" spans="1:5" x14ac:dyDescent="0.25">
      <c r="B97" s="2" t="s">
        <v>143</v>
      </c>
    </row>
    <row r="98" spans="1:5" x14ac:dyDescent="0.25">
      <c r="B98" s="17" t="s">
        <v>165</v>
      </c>
    </row>
    <row r="103" spans="1:5" x14ac:dyDescent="0.25">
      <c r="A103" s="1" t="s">
        <v>148</v>
      </c>
    </row>
    <row r="104" spans="1:5" x14ac:dyDescent="0.25">
      <c r="A104" s="1"/>
    </row>
    <row r="105" spans="1:5" x14ac:dyDescent="0.25">
      <c r="B105" s="14" t="s">
        <v>147</v>
      </c>
      <c r="C105" s="14" t="s">
        <v>4</v>
      </c>
      <c r="D105" s="14" t="s">
        <v>5</v>
      </c>
      <c r="E105" s="14" t="s">
        <v>6</v>
      </c>
    </row>
    <row r="106" spans="1:5" x14ac:dyDescent="0.25">
      <c r="B106" s="15" t="s">
        <v>1</v>
      </c>
      <c r="C106" s="15" t="s">
        <v>8</v>
      </c>
      <c r="D106" s="15">
        <v>123456</v>
      </c>
      <c r="E106" s="15">
        <v>2012</v>
      </c>
    </row>
    <row r="107" spans="1:5" x14ac:dyDescent="0.25">
      <c r="B107" s="15" t="s">
        <v>2</v>
      </c>
      <c r="C107" s="15" t="s">
        <v>8</v>
      </c>
      <c r="D107" s="15">
        <v>12345</v>
      </c>
      <c r="E107" s="15">
        <v>2012</v>
      </c>
    </row>
    <row r="108" spans="1:5" x14ac:dyDescent="0.25">
      <c r="B108" s="15" t="s">
        <v>3</v>
      </c>
      <c r="C108" s="15" t="s">
        <v>9</v>
      </c>
      <c r="D108" s="15">
        <v>321456</v>
      </c>
      <c r="E108" s="15">
        <v>2013</v>
      </c>
    </row>
    <row r="110" spans="1:5" x14ac:dyDescent="0.25">
      <c r="B110" s="14" t="s">
        <v>10</v>
      </c>
      <c r="C110" s="14" t="s">
        <v>105</v>
      </c>
      <c r="D110" s="14" t="s">
        <v>106</v>
      </c>
      <c r="E110" s="14" t="s">
        <v>122</v>
      </c>
    </row>
    <row r="111" spans="1:5" x14ac:dyDescent="0.25">
      <c r="B111" s="25" t="s">
        <v>11</v>
      </c>
      <c r="C111" s="25" t="s">
        <v>151</v>
      </c>
      <c r="D111" s="25" t="s">
        <v>152</v>
      </c>
      <c r="E111" s="25">
        <v>45</v>
      </c>
    </row>
    <row r="112" spans="1:5" x14ac:dyDescent="0.25">
      <c r="B112" s="25" t="s">
        <v>149</v>
      </c>
      <c r="C112" s="25" t="s">
        <v>153</v>
      </c>
      <c r="D112" s="25" t="s">
        <v>154</v>
      </c>
      <c r="E112" s="25">
        <v>1</v>
      </c>
    </row>
    <row r="113" spans="1:6" x14ac:dyDescent="0.25">
      <c r="B113" s="25" t="s">
        <v>150</v>
      </c>
      <c r="C113" s="25" t="s">
        <v>155</v>
      </c>
      <c r="D113" s="25" t="s">
        <v>156</v>
      </c>
      <c r="E113" s="25">
        <v>93</v>
      </c>
    </row>
    <row r="114" spans="1:6" x14ac:dyDescent="0.25">
      <c r="B114" s="25" t="s">
        <v>14</v>
      </c>
      <c r="C114" s="25" t="s">
        <v>157</v>
      </c>
      <c r="D114" s="25" t="s">
        <v>158</v>
      </c>
      <c r="E114" s="25">
        <v>100</v>
      </c>
    </row>
    <row r="116" spans="1:6" x14ac:dyDescent="0.25">
      <c r="B116" s="14" t="s">
        <v>10</v>
      </c>
      <c r="C116" s="14" t="s">
        <v>105</v>
      </c>
      <c r="D116" s="14" t="s">
        <v>160</v>
      </c>
      <c r="E116" s="14" t="s">
        <v>106</v>
      </c>
      <c r="F116" s="14" t="s">
        <v>122</v>
      </c>
    </row>
    <row r="117" spans="1:6" x14ac:dyDescent="0.25">
      <c r="B117" s="15" t="s">
        <v>11</v>
      </c>
      <c r="C117" s="15" t="s">
        <v>151</v>
      </c>
      <c r="D117" s="15"/>
      <c r="E117" s="15" t="s">
        <v>152</v>
      </c>
      <c r="F117" s="15">
        <v>45</v>
      </c>
    </row>
    <row r="118" spans="1:6" x14ac:dyDescent="0.25">
      <c r="B118" s="15" t="s">
        <v>149</v>
      </c>
      <c r="C118" s="15" t="s">
        <v>153</v>
      </c>
      <c r="D118" s="15"/>
      <c r="E118" s="15" t="s">
        <v>154</v>
      </c>
      <c r="F118" s="15">
        <v>1</v>
      </c>
    </row>
    <row r="119" spans="1:6" x14ac:dyDescent="0.25">
      <c r="B119" s="15" t="s">
        <v>150</v>
      </c>
      <c r="C119" s="15" t="s">
        <v>155</v>
      </c>
      <c r="D119" s="15"/>
      <c r="E119" s="15" t="s">
        <v>156</v>
      </c>
      <c r="F119" s="15">
        <v>93</v>
      </c>
    </row>
    <row r="120" spans="1:6" x14ac:dyDescent="0.25">
      <c r="B120" s="15" t="s">
        <v>14</v>
      </c>
      <c r="C120" s="15" t="s">
        <v>157</v>
      </c>
      <c r="D120" s="15"/>
      <c r="E120" s="15" t="s">
        <v>158</v>
      </c>
      <c r="F120" s="15">
        <v>100</v>
      </c>
    </row>
    <row r="121" spans="1:6" x14ac:dyDescent="0.25">
      <c r="B121" s="15" t="s">
        <v>159</v>
      </c>
      <c r="C121" s="15" t="s">
        <v>161</v>
      </c>
      <c r="D121" s="15" t="s">
        <v>162</v>
      </c>
      <c r="E121" s="15" t="s">
        <v>163</v>
      </c>
      <c r="F121" s="15">
        <v>7</v>
      </c>
    </row>
    <row r="123" spans="1:6" x14ac:dyDescent="0.25">
      <c r="A123" s="1" t="s">
        <v>166</v>
      </c>
    </row>
    <row r="125" spans="1:6" x14ac:dyDescent="0.25">
      <c r="A125" s="2" t="s">
        <v>167</v>
      </c>
      <c r="B125" s="2" t="s">
        <v>169</v>
      </c>
    </row>
    <row r="126" spans="1:6" x14ac:dyDescent="0.25">
      <c r="A126" s="2" t="s">
        <v>168</v>
      </c>
      <c r="B126" s="2" t="s">
        <v>170</v>
      </c>
    </row>
    <row r="131" spans="1:2" x14ac:dyDescent="0.25">
      <c r="A131" s="1" t="s">
        <v>171</v>
      </c>
    </row>
    <row r="132" spans="1:2" x14ac:dyDescent="0.25">
      <c r="B132" s="2" t="s">
        <v>172</v>
      </c>
    </row>
    <row r="133" spans="1:2" x14ac:dyDescent="0.25">
      <c r="B133" s="2" t="s">
        <v>173</v>
      </c>
    </row>
    <row r="134" spans="1:2" x14ac:dyDescent="0.25">
      <c r="B134" s="2" t="s">
        <v>174</v>
      </c>
    </row>
    <row r="136" spans="1:2" x14ac:dyDescent="0.25">
      <c r="A136" s="5" t="s">
        <v>175</v>
      </c>
    </row>
    <row r="138" spans="1:2" x14ac:dyDescent="0.25">
      <c r="A138" s="2" t="s">
        <v>176</v>
      </c>
    </row>
    <row r="139" spans="1:2" x14ac:dyDescent="0.25">
      <c r="A139" s="2" t="s">
        <v>177</v>
      </c>
    </row>
    <row r="142" spans="1:2" x14ac:dyDescent="0.25">
      <c r="A142" s="1" t="s">
        <v>178</v>
      </c>
    </row>
    <row r="143" spans="1:2" x14ac:dyDescent="0.25">
      <c r="B143" s="2" t="s">
        <v>179</v>
      </c>
    </row>
    <row r="144" spans="1:2" x14ac:dyDescent="0.25">
      <c r="B144" s="2" t="s">
        <v>180</v>
      </c>
    </row>
    <row r="146" spans="1:5" x14ac:dyDescent="0.25">
      <c r="A146" s="2" t="s">
        <v>39</v>
      </c>
    </row>
    <row r="147" spans="1:5" x14ac:dyDescent="0.25">
      <c r="A147" s="2" t="s">
        <v>40</v>
      </c>
    </row>
    <row r="148" spans="1:5" x14ac:dyDescent="0.25">
      <c r="A148" s="2" t="s">
        <v>41</v>
      </c>
      <c r="B148" s="2" t="s">
        <v>44</v>
      </c>
    </row>
    <row r="149" spans="1:5" x14ac:dyDescent="0.25">
      <c r="A149" s="2" t="s">
        <v>42</v>
      </c>
    </row>
    <row r="150" spans="1:5" x14ac:dyDescent="0.25">
      <c r="A150" s="2" t="s">
        <v>43</v>
      </c>
      <c r="B150" s="2" t="s">
        <v>45</v>
      </c>
    </row>
    <row r="153" spans="1:5" ht="26.4" x14ac:dyDescent="0.25">
      <c r="A153" s="18" t="s">
        <v>48</v>
      </c>
      <c r="B153" s="18" t="s">
        <v>49</v>
      </c>
      <c r="C153" s="19" t="s">
        <v>50</v>
      </c>
      <c r="D153" s="18" t="s">
        <v>51</v>
      </c>
    </row>
    <row r="154" spans="1:5" x14ac:dyDescent="0.25">
      <c r="A154" s="20" t="s">
        <v>52</v>
      </c>
      <c r="B154" s="20" t="s">
        <v>46</v>
      </c>
      <c r="C154" s="20" t="s">
        <v>53</v>
      </c>
      <c r="D154" s="21">
        <v>12.478446999999999</v>
      </c>
      <c r="E154" s="22" t="s">
        <v>68</v>
      </c>
    </row>
    <row r="155" spans="1:5" x14ac:dyDescent="0.25">
      <c r="A155" s="20" t="s">
        <v>54</v>
      </c>
      <c r="B155" s="20" t="s">
        <v>55</v>
      </c>
      <c r="C155" s="20" t="s">
        <v>55</v>
      </c>
      <c r="D155" s="21">
        <v>11.007835</v>
      </c>
      <c r="E155" s="22" t="s">
        <v>69</v>
      </c>
    </row>
    <row r="156" spans="1:5" x14ac:dyDescent="0.25">
      <c r="A156" s="20" t="s">
        <v>56</v>
      </c>
      <c r="B156" s="20" t="s">
        <v>47</v>
      </c>
      <c r="C156" s="20" t="s">
        <v>57</v>
      </c>
      <c r="D156" s="21">
        <v>5.5705850000000003</v>
      </c>
    </row>
    <row r="157" spans="1:5" x14ac:dyDescent="0.25">
      <c r="A157" s="20" t="s">
        <v>58</v>
      </c>
      <c r="B157" s="20" t="s">
        <v>59</v>
      </c>
      <c r="C157" s="20" t="s">
        <v>60</v>
      </c>
      <c r="D157" s="21">
        <v>4.4866789999999996</v>
      </c>
    </row>
    <row r="158" spans="1:5" x14ac:dyDescent="0.25">
      <c r="A158" s="20" t="s">
        <v>61</v>
      </c>
      <c r="B158" s="20" t="s">
        <v>47</v>
      </c>
      <c r="C158" s="20" t="s">
        <v>62</v>
      </c>
      <c r="D158" s="21">
        <v>4.462002</v>
      </c>
    </row>
    <row r="159" spans="1:5" x14ac:dyDescent="0.25">
      <c r="A159" s="20" t="s">
        <v>63</v>
      </c>
      <c r="B159" s="20" t="s">
        <v>46</v>
      </c>
      <c r="C159" s="20" t="s">
        <v>64</v>
      </c>
      <c r="D159" s="21">
        <v>3.1154310000000001</v>
      </c>
    </row>
    <row r="160" spans="1:5" x14ac:dyDescent="0.25">
      <c r="A160" s="20" t="s">
        <v>65</v>
      </c>
      <c r="B160" s="20" t="s">
        <v>66</v>
      </c>
      <c r="C160" s="20" t="s">
        <v>67</v>
      </c>
      <c r="D160" s="21">
        <v>3.1733500000000001</v>
      </c>
    </row>
    <row r="161" spans="1:4" x14ac:dyDescent="0.25">
      <c r="A161" s="22"/>
      <c r="B161" s="22"/>
      <c r="C161" s="22"/>
      <c r="D161" s="23"/>
    </row>
    <row r="162" spans="1:4" x14ac:dyDescent="0.25">
      <c r="A162" s="22"/>
      <c r="B162" s="22"/>
      <c r="C162" s="22"/>
      <c r="D162" s="23"/>
    </row>
    <row r="163" spans="1:4" x14ac:dyDescent="0.25">
      <c r="A163" s="22" t="s">
        <v>70</v>
      </c>
      <c r="B163" s="22"/>
      <c r="C163" s="22"/>
      <c r="D163" s="23"/>
    </row>
    <row r="164" spans="1:4" x14ac:dyDescent="0.25">
      <c r="A164" s="22" t="s">
        <v>71</v>
      </c>
      <c r="B164" s="22"/>
      <c r="C164" s="22"/>
      <c r="D164" s="23"/>
    </row>
    <row r="165" spans="1:4" x14ac:dyDescent="0.25">
      <c r="A165" s="22" t="s">
        <v>72</v>
      </c>
      <c r="B165" s="22"/>
      <c r="D165" s="23"/>
    </row>
    <row r="166" spans="1:4" x14ac:dyDescent="0.25">
      <c r="A166" s="22" t="s">
        <v>73</v>
      </c>
      <c r="B166" s="22"/>
      <c r="C166" s="23" t="s">
        <v>74</v>
      </c>
      <c r="D166" s="24"/>
    </row>
  </sheetData>
  <mergeCells count="2">
    <mergeCell ref="D23:G23"/>
    <mergeCell ref="D75:G75"/>
  </mergeCells>
  <conditionalFormatting sqref="B15:B20">
    <cfRule type="cellIs" dxfId="2" priority="1" stopIfTrue="1" operator="greaterThan">
      <formula>1000000000</formula>
    </cfRule>
    <cfRule type="cellIs" dxfId="1" priority="4" stopIfTrue="1" operator="greaterThan">
      <formula>1000000</formula>
    </cfRule>
    <cfRule type="cellIs" dxfId="0" priority="5" stopIfTrue="1" operator="greaterThan">
      <formula>1000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7BCEC-FFF4-41AC-957A-2C9A278D2AD6}">
  <dimension ref="A1:G63"/>
  <sheetViews>
    <sheetView topLeftCell="A40" zoomScale="70" zoomScaleNormal="70" workbookViewId="0">
      <selection activeCell="A50" sqref="A50:D57"/>
    </sheetView>
  </sheetViews>
  <sheetFormatPr defaultRowHeight="13.8" x14ac:dyDescent="0.25"/>
  <cols>
    <col min="1" max="1" width="33.88671875" style="2" customWidth="1"/>
    <col min="2" max="3" width="8.88671875" style="2"/>
    <col min="4" max="4" width="18.6640625" style="2" customWidth="1"/>
    <col min="5" max="16384" width="8.88671875" style="2"/>
  </cols>
  <sheetData>
    <row r="1" spans="1:5" x14ac:dyDescent="0.25">
      <c r="A1" s="2" t="s">
        <v>0</v>
      </c>
      <c r="B1" s="2" t="s">
        <v>4</v>
      </c>
      <c r="C1" s="2" t="s">
        <v>5</v>
      </c>
      <c r="D1" s="2" t="s">
        <v>6</v>
      </c>
    </row>
    <row r="2" spans="1:5" x14ac:dyDescent="0.25">
      <c r="A2" s="2" t="s">
        <v>1</v>
      </c>
      <c r="D2" s="2" t="str">
        <f>MID($A2,FIND("-",$A2)+1,FIND("-",$A2,FIND("-",$A2)+1)-FIND("-",$A2)-1)</f>
        <v>123456</v>
      </c>
    </row>
    <row r="3" spans="1:5" x14ac:dyDescent="0.25">
      <c r="A3" s="2" t="s">
        <v>2</v>
      </c>
      <c r="D3" s="2" t="str">
        <f t="shared" ref="D3:D4" si="0">MID($A3,FIND("-",$A3)+1,FIND("-",$A3,FIND("-",$A3)+1)-FIND("-",$A3)-1)</f>
        <v>12345</v>
      </c>
    </row>
    <row r="4" spans="1:5" x14ac:dyDescent="0.25">
      <c r="A4" s="2" t="s">
        <v>3</v>
      </c>
      <c r="D4" s="2" t="str">
        <f t="shared" si="0"/>
        <v>321456</v>
      </c>
    </row>
    <row r="6" spans="1:5" x14ac:dyDescent="0.25">
      <c r="A6" s="2" t="s">
        <v>7</v>
      </c>
    </row>
    <row r="7" spans="1:5" x14ac:dyDescent="0.25">
      <c r="A7" s="2" t="s">
        <v>0</v>
      </c>
      <c r="B7" s="2" t="s">
        <v>4</v>
      </c>
      <c r="C7" s="2" t="s">
        <v>5</v>
      </c>
      <c r="D7" s="2" t="s">
        <v>6</v>
      </c>
    </row>
    <row r="8" spans="1:5" x14ac:dyDescent="0.25">
      <c r="A8" s="2" t="s">
        <v>1</v>
      </c>
      <c r="B8" s="2" t="s">
        <v>8</v>
      </c>
      <c r="C8" s="2">
        <v>123456</v>
      </c>
      <c r="D8" s="2">
        <v>2012</v>
      </c>
    </row>
    <row r="9" spans="1:5" x14ac:dyDescent="0.25">
      <c r="A9" s="2" t="s">
        <v>2</v>
      </c>
      <c r="B9" s="2" t="s">
        <v>8</v>
      </c>
      <c r="C9" s="2">
        <v>12345</v>
      </c>
      <c r="D9" s="2">
        <v>2012</v>
      </c>
    </row>
    <row r="10" spans="1:5" x14ac:dyDescent="0.25">
      <c r="A10" s="2" t="s">
        <v>3</v>
      </c>
      <c r="B10" s="2" t="s">
        <v>9</v>
      </c>
      <c r="C10" s="2">
        <v>321456</v>
      </c>
      <c r="D10" s="2">
        <v>2013</v>
      </c>
    </row>
    <row r="12" spans="1:5" x14ac:dyDescent="0.25">
      <c r="A12" s="2" t="s">
        <v>10</v>
      </c>
      <c r="B12" s="2" t="s">
        <v>16</v>
      </c>
      <c r="C12" s="2" t="s">
        <v>17</v>
      </c>
      <c r="D12" s="2" t="s">
        <v>18</v>
      </c>
      <c r="E12" s="2" t="s">
        <v>19</v>
      </c>
    </row>
    <row r="13" spans="1:5" x14ac:dyDescent="0.25">
      <c r="A13" s="2" t="s">
        <v>11</v>
      </c>
    </row>
    <row r="14" spans="1:5" x14ac:dyDescent="0.25">
      <c r="A14" s="2" t="s">
        <v>12</v>
      </c>
    </row>
    <row r="15" spans="1:5" x14ac:dyDescent="0.25">
      <c r="A15" s="2" t="s">
        <v>13</v>
      </c>
    </row>
    <row r="16" spans="1:5" x14ac:dyDescent="0.25">
      <c r="A16" s="2" t="s">
        <v>14</v>
      </c>
    </row>
    <row r="17" spans="1:5" x14ac:dyDescent="0.25">
      <c r="A17" s="2" t="s">
        <v>15</v>
      </c>
    </row>
    <row r="20" spans="1:5" x14ac:dyDescent="0.25">
      <c r="B20" s="2" t="s">
        <v>20</v>
      </c>
      <c r="D20" s="2" t="s">
        <v>22</v>
      </c>
    </row>
    <row r="21" spans="1:5" x14ac:dyDescent="0.25">
      <c r="A21" s="2" t="s">
        <v>81</v>
      </c>
      <c r="B21" s="3">
        <v>30</v>
      </c>
      <c r="D21" s="3" t="s">
        <v>23</v>
      </c>
    </row>
    <row r="22" spans="1:5" x14ac:dyDescent="0.25">
      <c r="B22" s="3">
        <v>32.6</v>
      </c>
      <c r="D22" s="3" t="s">
        <v>24</v>
      </c>
    </row>
    <row r="23" spans="1:5" x14ac:dyDescent="0.25">
      <c r="B23" s="3" t="s">
        <v>21</v>
      </c>
      <c r="D23" s="3" t="s">
        <v>23</v>
      </c>
    </row>
    <row r="24" spans="1:5" x14ac:dyDescent="0.25">
      <c r="B24" s="3">
        <v>25</v>
      </c>
      <c r="D24" s="3"/>
    </row>
    <row r="25" spans="1:5" x14ac:dyDescent="0.25">
      <c r="B25" s="3"/>
      <c r="D25" s="3"/>
    </row>
    <row r="26" spans="1:5" x14ac:dyDescent="0.25">
      <c r="B26" s="3"/>
      <c r="D26" s="3"/>
    </row>
    <row r="27" spans="1:5" x14ac:dyDescent="0.25">
      <c r="B27" s="3"/>
      <c r="D27" s="3"/>
    </row>
    <row r="28" spans="1:5" x14ac:dyDescent="0.25">
      <c r="B28" s="3"/>
      <c r="D28" s="3"/>
    </row>
    <row r="30" spans="1:5" x14ac:dyDescent="0.25">
      <c r="A30" s="2" t="s">
        <v>25</v>
      </c>
      <c r="B30" s="2" t="s">
        <v>31</v>
      </c>
      <c r="C30" s="2" t="s">
        <v>32</v>
      </c>
    </row>
    <row r="31" spans="1:5" x14ac:dyDescent="0.25">
      <c r="A31" s="2" t="s">
        <v>26</v>
      </c>
      <c r="B31" s="2">
        <v>476</v>
      </c>
      <c r="C31" s="2" t="b">
        <f>B31&gt;LARGE(B31:B37,2)</f>
        <v>1</v>
      </c>
      <c r="D31" s="2" t="s">
        <v>27</v>
      </c>
      <c r="E31" s="2">
        <f>MAX(B31:B37)</f>
        <v>476</v>
      </c>
    </row>
    <row r="32" spans="1:5" x14ac:dyDescent="0.25">
      <c r="B32" s="2">
        <v>327</v>
      </c>
      <c r="C32" s="2" t="b">
        <f t="shared" ref="C32:C37" si="1">B32&gt;LARGE(B32:B38,2)</f>
        <v>0</v>
      </c>
      <c r="D32" s="2" t="s">
        <v>28</v>
      </c>
      <c r="E32" s="2">
        <f>LARGE(B31:B37,2)</f>
        <v>429</v>
      </c>
    </row>
    <row r="33" spans="1:7" x14ac:dyDescent="0.25">
      <c r="B33" s="2">
        <v>208</v>
      </c>
      <c r="C33" s="2" t="b">
        <f t="shared" si="1"/>
        <v>0</v>
      </c>
      <c r="D33" s="2" t="s">
        <v>29</v>
      </c>
      <c r="E33" s="2">
        <f>SMALL(B31:B37,4)</f>
        <v>327</v>
      </c>
    </row>
    <row r="34" spans="1:7" x14ac:dyDescent="0.25">
      <c r="B34" s="2">
        <v>275</v>
      </c>
      <c r="C34" s="2" t="b">
        <f t="shared" si="1"/>
        <v>0</v>
      </c>
      <c r="D34" s="2" t="s">
        <v>30</v>
      </c>
      <c r="E34" s="2" cm="1">
        <f t="array" ref="E34:G34">LARGE(B31:B37,{2,3,4})</f>
        <v>429</v>
      </c>
      <c r="F34" s="2">
        <v>331</v>
      </c>
      <c r="G34" s="2">
        <v>327</v>
      </c>
    </row>
    <row r="35" spans="1:7" x14ac:dyDescent="0.25">
      <c r="B35" s="2">
        <v>331</v>
      </c>
      <c r="C35" s="2" t="b">
        <f t="shared" si="1"/>
        <v>0</v>
      </c>
      <c r="D35" s="2" t="s">
        <v>33</v>
      </c>
    </row>
    <row r="36" spans="1:7" x14ac:dyDescent="0.25">
      <c r="B36" s="2">
        <v>429</v>
      </c>
      <c r="C36" s="2" t="b">
        <f t="shared" si="1"/>
        <v>1</v>
      </c>
      <c r="E36" s="2" t="s">
        <v>34</v>
      </c>
    </row>
    <row r="37" spans="1:7" x14ac:dyDescent="0.25">
      <c r="B37" s="2">
        <v>270</v>
      </c>
      <c r="C37" s="2" t="e">
        <f t="shared" si="1"/>
        <v>#NUM!</v>
      </c>
      <c r="E37" s="2" t="s">
        <v>35</v>
      </c>
    </row>
    <row r="39" spans="1:7" x14ac:dyDescent="0.25">
      <c r="A39" s="2" t="s">
        <v>36</v>
      </c>
    </row>
    <row r="40" spans="1:7" x14ac:dyDescent="0.25">
      <c r="B40" s="2" t="s">
        <v>37</v>
      </c>
    </row>
    <row r="41" spans="1:7" x14ac:dyDescent="0.25">
      <c r="B41" s="2" t="s">
        <v>38</v>
      </c>
    </row>
    <row r="43" spans="1:7" x14ac:dyDescent="0.25">
      <c r="A43" s="2" t="s">
        <v>39</v>
      </c>
    </row>
    <row r="44" spans="1:7" x14ac:dyDescent="0.25">
      <c r="A44" s="2" t="s">
        <v>40</v>
      </c>
    </row>
    <row r="45" spans="1:7" x14ac:dyDescent="0.25">
      <c r="A45" s="2" t="s">
        <v>41</v>
      </c>
      <c r="B45" s="2" t="s">
        <v>44</v>
      </c>
    </row>
    <row r="46" spans="1:7" x14ac:dyDescent="0.25">
      <c r="A46" s="2" t="s">
        <v>42</v>
      </c>
    </row>
    <row r="47" spans="1:7" x14ac:dyDescent="0.25">
      <c r="A47" s="2" t="s">
        <v>43</v>
      </c>
      <c r="B47" s="2" t="s">
        <v>45</v>
      </c>
    </row>
    <row r="50" spans="1:5" ht="26.4" x14ac:dyDescent="0.25">
      <c r="A50" s="18" t="s">
        <v>48</v>
      </c>
      <c r="B50" s="18" t="s">
        <v>49</v>
      </c>
      <c r="C50" s="19" t="s">
        <v>50</v>
      </c>
      <c r="D50" s="18" t="s">
        <v>51</v>
      </c>
    </row>
    <row r="51" spans="1:5" x14ac:dyDescent="0.25">
      <c r="A51" s="20" t="s">
        <v>52</v>
      </c>
      <c r="B51" s="20" t="s">
        <v>46</v>
      </c>
      <c r="C51" s="20" t="s">
        <v>53</v>
      </c>
      <c r="D51" s="21">
        <v>12.478446999999999</v>
      </c>
      <c r="E51" s="22" t="s">
        <v>68</v>
      </c>
    </row>
    <row r="52" spans="1:5" x14ac:dyDescent="0.25">
      <c r="A52" s="20" t="s">
        <v>54</v>
      </c>
      <c r="B52" s="20" t="s">
        <v>55</v>
      </c>
      <c r="C52" s="20" t="s">
        <v>55</v>
      </c>
      <c r="D52" s="21">
        <v>11.007835</v>
      </c>
      <c r="E52" s="22" t="s">
        <v>69</v>
      </c>
    </row>
    <row r="53" spans="1:5" x14ac:dyDescent="0.25">
      <c r="A53" s="20" t="s">
        <v>56</v>
      </c>
      <c r="B53" s="20" t="s">
        <v>47</v>
      </c>
      <c r="C53" s="20" t="s">
        <v>57</v>
      </c>
      <c r="D53" s="21">
        <v>5.5705850000000003</v>
      </c>
    </row>
    <row r="54" spans="1:5" x14ac:dyDescent="0.25">
      <c r="A54" s="20" t="s">
        <v>58</v>
      </c>
      <c r="B54" s="20" t="s">
        <v>59</v>
      </c>
      <c r="C54" s="20" t="s">
        <v>60</v>
      </c>
      <c r="D54" s="21">
        <v>4.4866789999999996</v>
      </c>
    </row>
    <row r="55" spans="1:5" x14ac:dyDescent="0.25">
      <c r="A55" s="20" t="s">
        <v>61</v>
      </c>
      <c r="B55" s="20" t="s">
        <v>47</v>
      </c>
      <c r="C55" s="20" t="s">
        <v>62</v>
      </c>
      <c r="D55" s="21">
        <v>4.462002</v>
      </c>
    </row>
    <row r="56" spans="1:5" x14ac:dyDescent="0.25">
      <c r="A56" s="20" t="s">
        <v>63</v>
      </c>
      <c r="B56" s="20" t="s">
        <v>46</v>
      </c>
      <c r="C56" s="20" t="s">
        <v>64</v>
      </c>
      <c r="D56" s="21">
        <v>3.1154310000000001</v>
      </c>
    </row>
    <row r="57" spans="1:5" x14ac:dyDescent="0.25">
      <c r="A57" s="20" t="s">
        <v>65</v>
      </c>
      <c r="B57" s="20" t="s">
        <v>66</v>
      </c>
      <c r="C57" s="20" t="s">
        <v>67</v>
      </c>
      <c r="D57" s="21">
        <v>3.1733500000000001</v>
      </c>
    </row>
    <row r="58" spans="1:5" x14ac:dyDescent="0.25">
      <c r="A58" s="22"/>
      <c r="B58" s="22"/>
      <c r="C58" s="22"/>
      <c r="D58" s="23"/>
    </row>
    <row r="59" spans="1:5" x14ac:dyDescent="0.25">
      <c r="A59" s="22"/>
      <c r="B59" s="22"/>
      <c r="C59" s="22"/>
      <c r="D59" s="23"/>
    </row>
    <row r="60" spans="1:5" x14ac:dyDescent="0.25">
      <c r="A60" s="22" t="s">
        <v>70</v>
      </c>
      <c r="B60" s="22"/>
      <c r="C60" s="22"/>
      <c r="D60" s="23"/>
    </row>
    <row r="61" spans="1:5" x14ac:dyDescent="0.25">
      <c r="A61" s="22" t="s">
        <v>71</v>
      </c>
      <c r="B61" s="22"/>
      <c r="C61" s="22"/>
      <c r="D61" s="23">
        <f>MATCH("Cities",$A$50:$D$50,0)</f>
        <v>3</v>
      </c>
    </row>
    <row r="62" spans="1:5" x14ac:dyDescent="0.25">
      <c r="A62" s="22" t="s">
        <v>72</v>
      </c>
      <c r="B62" s="22"/>
      <c r="D62" s="23"/>
    </row>
    <row r="63" spans="1:5" x14ac:dyDescent="0.25">
      <c r="A63" s="22" t="s">
        <v>73</v>
      </c>
      <c r="B63" s="22"/>
      <c r="C63" s="23" t="s">
        <v>74</v>
      </c>
      <c r="D63" s="24" t="e" cm="1">
        <f t="array" ref="D63">VLOOKUP("C5",$A$50:$D$57,$C$50:$C$57,0)</f>
        <v>#REF!</v>
      </c>
    </row>
  </sheetData>
  <dataValidations count="2">
    <dataValidation type="whole" allowBlank="1" showInputMessage="1" showErrorMessage="1" errorTitle="error" promptTitle="enter age" prompt="age shouldd bw between 17 &amp; 70" sqref="B21:B28" xr:uid="{35C9DAAA-DA20-459E-9AD0-82604EA9D70A}">
      <formula1>17</formula1>
      <formula2>70</formula2>
    </dataValidation>
    <dataValidation type="list" allowBlank="1" showInputMessage="1" showErrorMessage="1" errorTitle="error" promptTitle="select gender" prompt="choose from a drop down list" sqref="D21:D28" xr:uid="{59960875-9A90-43EB-A468-421502ABC869}">
      <formula1>"male,female,others"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6B81-FE6A-41BC-8B8C-AFC304FB5ABA}">
  <dimension ref="B2:K85"/>
  <sheetViews>
    <sheetView tabSelected="1" zoomScale="69" zoomScaleNormal="69" workbookViewId="0">
      <selection activeCell="B85" sqref="B85"/>
    </sheetView>
  </sheetViews>
  <sheetFormatPr defaultRowHeight="14.4" x14ac:dyDescent="0.3"/>
  <sheetData>
    <row r="2" spans="2:11" x14ac:dyDescent="0.3">
      <c r="B2" t="s">
        <v>181</v>
      </c>
    </row>
    <row r="3" spans="2:11" x14ac:dyDescent="0.3">
      <c r="B3">
        <v>1</v>
      </c>
      <c r="C3" t="s">
        <v>182</v>
      </c>
      <c r="E3" t="s">
        <v>184</v>
      </c>
    </row>
    <row r="4" spans="2:11" x14ac:dyDescent="0.3">
      <c r="B4">
        <v>2</v>
      </c>
      <c r="C4" t="s">
        <v>183</v>
      </c>
    </row>
    <row r="8" spans="2:11" ht="53.4" x14ac:dyDescent="0.3">
      <c r="B8" s="18" t="s">
        <v>48</v>
      </c>
      <c r="C8" s="18" t="s">
        <v>49</v>
      </c>
      <c r="D8" s="19" t="s">
        <v>50</v>
      </c>
      <c r="E8" s="18" t="s">
        <v>51</v>
      </c>
    </row>
    <row r="9" spans="2:11" x14ac:dyDescent="0.3">
      <c r="B9" s="20" t="s">
        <v>52</v>
      </c>
      <c r="C9" s="20" t="s">
        <v>46</v>
      </c>
      <c r="D9" s="20" t="s">
        <v>53</v>
      </c>
      <c r="E9" s="21">
        <v>12.478446999999999</v>
      </c>
      <c r="G9" s="33" t="s">
        <v>185</v>
      </c>
      <c r="K9" t="s">
        <v>186</v>
      </c>
    </row>
    <row r="10" spans="2:11" x14ac:dyDescent="0.3">
      <c r="B10" s="20" t="s">
        <v>54</v>
      </c>
      <c r="C10" s="20" t="s">
        <v>55</v>
      </c>
      <c r="D10" s="20" t="s">
        <v>55</v>
      </c>
      <c r="E10" s="21">
        <v>11.007835</v>
      </c>
      <c r="G10" t="str" cm="1">
        <f t="array" ref="G10:G17">CHOOSE(4,B8:B15,C8:C15,D8:D15,E8:E15)</f>
        <v>Population in 2011 (in mn)</v>
      </c>
    </row>
    <row r="11" spans="2:11" x14ac:dyDescent="0.3">
      <c r="B11" s="20" t="s">
        <v>56</v>
      </c>
      <c r="C11" s="20" t="s">
        <v>47</v>
      </c>
      <c r="D11" s="20" t="s">
        <v>57</v>
      </c>
      <c r="E11" s="21">
        <v>5.5705850000000003</v>
      </c>
      <c r="G11">
        <v>12.478446999999999</v>
      </c>
    </row>
    <row r="12" spans="2:11" x14ac:dyDescent="0.3">
      <c r="B12" s="20" t="s">
        <v>58</v>
      </c>
      <c r="C12" s="20" t="s">
        <v>59</v>
      </c>
      <c r="D12" s="20" t="s">
        <v>60</v>
      </c>
      <c r="E12" s="21">
        <v>4.4866789999999996</v>
      </c>
      <c r="G12">
        <v>11.007835</v>
      </c>
    </row>
    <row r="13" spans="2:11" x14ac:dyDescent="0.3">
      <c r="B13" s="20" t="s">
        <v>61</v>
      </c>
      <c r="C13" s="20" t="s">
        <v>47</v>
      </c>
      <c r="D13" s="20" t="s">
        <v>62</v>
      </c>
      <c r="E13" s="21">
        <v>4.462002</v>
      </c>
      <c r="G13">
        <v>5.5705850000000003</v>
      </c>
    </row>
    <row r="14" spans="2:11" x14ac:dyDescent="0.3">
      <c r="B14" s="20" t="s">
        <v>63</v>
      </c>
      <c r="C14" s="20" t="s">
        <v>46</v>
      </c>
      <c r="D14" s="20" t="s">
        <v>64</v>
      </c>
      <c r="E14" s="21">
        <v>3.1154310000000001</v>
      </c>
      <c r="G14">
        <v>4.4866789999999996</v>
      </c>
    </row>
    <row r="15" spans="2:11" x14ac:dyDescent="0.3">
      <c r="B15" s="20" t="s">
        <v>65</v>
      </c>
      <c r="C15" s="20" t="s">
        <v>66</v>
      </c>
      <c r="D15" s="20" t="s">
        <v>67</v>
      </c>
      <c r="E15" s="21">
        <v>3.1733500000000001</v>
      </c>
      <c r="G15">
        <v>4.462002</v>
      </c>
    </row>
    <row r="16" spans="2:11" x14ac:dyDescent="0.3">
      <c r="G16">
        <v>3.1154310000000001</v>
      </c>
    </row>
    <row r="17" spans="2:7" x14ac:dyDescent="0.3">
      <c r="G17">
        <v>3.1733500000000001</v>
      </c>
    </row>
    <row r="20" spans="2:7" x14ac:dyDescent="0.3">
      <c r="B20" s="34" t="s">
        <v>187</v>
      </c>
      <c r="D20" t="s">
        <v>202</v>
      </c>
    </row>
    <row r="22" spans="2:7" x14ac:dyDescent="0.3">
      <c r="B22" s="45" t="s">
        <v>188</v>
      </c>
      <c r="C22" s="45" t="s">
        <v>31</v>
      </c>
      <c r="E22" t="s">
        <v>193</v>
      </c>
    </row>
    <row r="23" spans="2:7" x14ac:dyDescent="0.3">
      <c r="B23" s="45" t="s">
        <v>189</v>
      </c>
      <c r="C23" s="45">
        <v>233</v>
      </c>
      <c r="F23" t="str">
        <f ca="1">OFFSET($B$22,4,0)</f>
        <v>aprl</v>
      </c>
    </row>
    <row r="24" spans="2:7" x14ac:dyDescent="0.3">
      <c r="B24" s="45" t="s">
        <v>190</v>
      </c>
      <c r="C24" s="45">
        <v>308</v>
      </c>
      <c r="E24" t="s">
        <v>194</v>
      </c>
    </row>
    <row r="25" spans="2:7" x14ac:dyDescent="0.3">
      <c r="B25" s="45" t="s">
        <v>191</v>
      </c>
      <c r="C25" s="45">
        <v>241</v>
      </c>
    </row>
    <row r="26" spans="2:7" x14ac:dyDescent="0.3">
      <c r="B26" s="45" t="s">
        <v>192</v>
      </c>
      <c r="C26" s="45">
        <v>254</v>
      </c>
      <c r="E26" t="s">
        <v>195</v>
      </c>
    </row>
    <row r="27" spans="2:7" x14ac:dyDescent="0.3">
      <c r="B27" s="45" t="s">
        <v>197</v>
      </c>
      <c r="C27" s="45">
        <v>890</v>
      </c>
      <c r="E27" t="str" cm="1">
        <f t="array" aca="1" ref="E27:E29" ca="1">OFFSET(B22:B34,COUNTA(B23:B34),0,-3,1)</f>
        <v>AUG</v>
      </c>
    </row>
    <row r="28" spans="2:7" x14ac:dyDescent="0.3">
      <c r="B28" s="45" t="s">
        <v>200</v>
      </c>
      <c r="C28" s="45">
        <v>900</v>
      </c>
      <c r="E28" t="str">
        <f ca="1"/>
        <v>SEP</v>
      </c>
    </row>
    <row r="29" spans="2:7" x14ac:dyDescent="0.3">
      <c r="B29" s="45" t="s">
        <v>199</v>
      </c>
      <c r="C29" s="45">
        <v>234</v>
      </c>
      <c r="E29" t="str">
        <f ca="1"/>
        <v>OCT</v>
      </c>
    </row>
    <row r="30" spans="2:7" x14ac:dyDescent="0.3">
      <c r="B30" s="45" t="s">
        <v>198</v>
      </c>
      <c r="C30" s="45">
        <v>890</v>
      </c>
    </row>
    <row r="31" spans="2:7" x14ac:dyDescent="0.3">
      <c r="B31" s="45" t="s">
        <v>319</v>
      </c>
      <c r="C31" s="45">
        <v>900</v>
      </c>
      <c r="E31" t="s">
        <v>196</v>
      </c>
    </row>
    <row r="32" spans="2:7" x14ac:dyDescent="0.3">
      <c r="B32" s="45" t="s">
        <v>321</v>
      </c>
      <c r="C32" s="45">
        <v>750</v>
      </c>
      <c r="E32" cm="1">
        <f t="array" aca="1" ref="E32:E34" ca="1">OFFSET(B22:B32,COUNTA(B23:B32),1,-3,1)</f>
        <v>890</v>
      </c>
    </row>
    <row r="33" spans="2:6" x14ac:dyDescent="0.3">
      <c r="B33" s="45"/>
      <c r="C33" s="45"/>
      <c r="E33">
        <f ca="1"/>
        <v>900</v>
      </c>
    </row>
    <row r="34" spans="2:6" x14ac:dyDescent="0.3">
      <c r="B34" s="45"/>
      <c r="C34" s="45"/>
      <c r="E34">
        <f ca="1"/>
        <v>750</v>
      </c>
    </row>
    <row r="36" spans="2:6" x14ac:dyDescent="0.3">
      <c r="E36" t="s">
        <v>201</v>
      </c>
    </row>
    <row r="37" spans="2:6" x14ac:dyDescent="0.3">
      <c r="E37" t="str" cm="1">
        <f t="array" aca="1" ref="E37:F40" ca="1">OFFSET($B$22,COUNTA($B$23:$B$34), , -4,2)</f>
        <v>JULY</v>
      </c>
      <c r="F37">
        <f ca="1"/>
        <v>234</v>
      </c>
    </row>
    <row r="38" spans="2:6" x14ac:dyDescent="0.3">
      <c r="E38" t="str">
        <f ca="1"/>
        <v>AUG</v>
      </c>
      <c r="F38">
        <f ca="1"/>
        <v>890</v>
      </c>
    </row>
    <row r="39" spans="2:6" x14ac:dyDescent="0.3">
      <c r="E39" t="str">
        <f ca="1"/>
        <v>SEP</v>
      </c>
      <c r="F39">
        <f ca="1"/>
        <v>900</v>
      </c>
    </row>
    <row r="40" spans="2:6" x14ac:dyDescent="0.3">
      <c r="E40" t="str">
        <f ca="1"/>
        <v>OCT</v>
      </c>
      <c r="F40">
        <f ca="1"/>
        <v>750</v>
      </c>
    </row>
    <row r="42" spans="2:6" x14ac:dyDescent="0.3">
      <c r="E42" t="s">
        <v>320</v>
      </c>
    </row>
    <row r="43" spans="2:6" x14ac:dyDescent="0.3">
      <c r="E43">
        <f ca="1">AVERAGE(OFFSET($B$22,COUNTA($B$23:$B$34 ),1,-3,1))</f>
        <v>846.66666666666663</v>
      </c>
    </row>
    <row r="45" spans="2:6" x14ac:dyDescent="0.3">
      <c r="B45" t="s">
        <v>322</v>
      </c>
    </row>
    <row r="46" spans="2:6" x14ac:dyDescent="0.3">
      <c r="C46" t="s">
        <v>323</v>
      </c>
    </row>
    <row r="48" spans="2:6" x14ac:dyDescent="0.3">
      <c r="C48" s="45" t="s">
        <v>188</v>
      </c>
      <c r="D48" s="45" t="s">
        <v>31</v>
      </c>
    </row>
    <row r="49" spans="3:6" x14ac:dyDescent="0.3">
      <c r="C49" s="45" t="s">
        <v>189</v>
      </c>
      <c r="D49" s="45">
        <v>233</v>
      </c>
      <c r="F49" t="s">
        <v>325</v>
      </c>
    </row>
    <row r="50" spans="3:6" x14ac:dyDescent="0.3">
      <c r="C50" s="45" t="s">
        <v>190</v>
      </c>
      <c r="D50" s="45">
        <v>308</v>
      </c>
      <c r="F50" t="s">
        <v>324</v>
      </c>
    </row>
    <row r="51" spans="3:6" x14ac:dyDescent="0.3">
      <c r="C51" s="45" t="s">
        <v>191</v>
      </c>
      <c r="D51" s="45">
        <v>241</v>
      </c>
    </row>
    <row r="52" spans="3:6" x14ac:dyDescent="0.3">
      <c r="C52" s="45" t="s">
        <v>192</v>
      </c>
      <c r="D52" s="45">
        <v>254</v>
      </c>
    </row>
    <row r="53" spans="3:6" x14ac:dyDescent="0.3">
      <c r="C53" s="45" t="s">
        <v>197</v>
      </c>
      <c r="D53" s="45">
        <v>890</v>
      </c>
    </row>
    <row r="54" spans="3:6" x14ac:dyDescent="0.3">
      <c r="C54" s="45" t="s">
        <v>200</v>
      </c>
      <c r="D54" s="45">
        <v>900</v>
      </c>
    </row>
    <row r="55" spans="3:6" x14ac:dyDescent="0.3">
      <c r="C55" s="45" t="s">
        <v>199</v>
      </c>
      <c r="D55" s="45">
        <v>234</v>
      </c>
    </row>
    <row r="56" spans="3:6" x14ac:dyDescent="0.3">
      <c r="C56" s="45" t="s">
        <v>198</v>
      </c>
      <c r="D56" s="45">
        <v>890</v>
      </c>
    </row>
    <row r="57" spans="3:6" x14ac:dyDescent="0.3">
      <c r="C57" s="45" t="s">
        <v>319</v>
      </c>
      <c r="D57" s="45">
        <v>900</v>
      </c>
    </row>
    <row r="58" spans="3:6" x14ac:dyDescent="0.3">
      <c r="C58" s="45" t="s">
        <v>321</v>
      </c>
      <c r="D58" s="45">
        <v>750</v>
      </c>
    </row>
    <row r="59" spans="3:6" x14ac:dyDescent="0.3">
      <c r="C59" s="45" t="s">
        <v>326</v>
      </c>
      <c r="D59" s="45">
        <v>678</v>
      </c>
    </row>
    <row r="60" spans="3:6" x14ac:dyDescent="0.3">
      <c r="C60" s="45"/>
      <c r="D60" s="45"/>
    </row>
    <row r="66" spans="2:4" x14ac:dyDescent="0.3">
      <c r="B66" t="s">
        <v>327</v>
      </c>
    </row>
    <row r="68" spans="2:4" x14ac:dyDescent="0.3">
      <c r="C68" t="s">
        <v>328</v>
      </c>
    </row>
    <row r="70" spans="2:4" x14ac:dyDescent="0.3">
      <c r="C70" s="59" t="s">
        <v>188</v>
      </c>
      <c r="D70" s="60" t="s">
        <v>31</v>
      </c>
    </row>
    <row r="71" spans="2:4" x14ac:dyDescent="0.3">
      <c r="C71" s="57" t="s">
        <v>189</v>
      </c>
      <c r="D71" s="58">
        <v>233</v>
      </c>
    </row>
    <row r="72" spans="2:4" x14ac:dyDescent="0.3">
      <c r="C72" s="57" t="s">
        <v>190</v>
      </c>
      <c r="D72" s="58">
        <v>308</v>
      </c>
    </row>
    <row r="73" spans="2:4" x14ac:dyDescent="0.3">
      <c r="C73" s="57" t="s">
        <v>191</v>
      </c>
      <c r="D73" s="58">
        <v>241</v>
      </c>
    </row>
    <row r="74" spans="2:4" x14ac:dyDescent="0.3">
      <c r="C74" s="57" t="s">
        <v>192</v>
      </c>
      <c r="D74" s="58">
        <v>254</v>
      </c>
    </row>
    <row r="75" spans="2:4" x14ac:dyDescent="0.3">
      <c r="C75" s="57" t="s">
        <v>197</v>
      </c>
      <c r="D75" s="58">
        <v>890</v>
      </c>
    </row>
    <row r="76" spans="2:4" x14ac:dyDescent="0.3">
      <c r="C76" s="57" t="s">
        <v>200</v>
      </c>
      <c r="D76" s="58">
        <v>900</v>
      </c>
    </row>
    <row r="77" spans="2:4" x14ac:dyDescent="0.3">
      <c r="C77" s="57" t="s">
        <v>199</v>
      </c>
      <c r="D77" s="58">
        <v>234</v>
      </c>
    </row>
    <row r="78" spans="2:4" x14ac:dyDescent="0.3">
      <c r="C78" s="57" t="s">
        <v>198</v>
      </c>
      <c r="D78" s="58">
        <v>890</v>
      </c>
    </row>
    <row r="79" spans="2:4" x14ac:dyDescent="0.3">
      <c r="C79" s="57" t="s">
        <v>319</v>
      </c>
      <c r="D79" s="58">
        <v>900</v>
      </c>
    </row>
    <row r="80" spans="2:4" x14ac:dyDescent="0.3">
      <c r="C80" s="57" t="s">
        <v>321</v>
      </c>
      <c r="D80" s="58">
        <v>750</v>
      </c>
    </row>
    <row r="81" spans="2:4" x14ac:dyDescent="0.3">
      <c r="C81" s="57" t="s">
        <v>326</v>
      </c>
      <c r="D81" s="58">
        <v>678</v>
      </c>
    </row>
    <row r="82" spans="2:4" x14ac:dyDescent="0.3">
      <c r="C82" s="61" t="s">
        <v>329</v>
      </c>
      <c r="D82" s="62">
        <v>580</v>
      </c>
    </row>
    <row r="85" spans="2:4" x14ac:dyDescent="0.3">
      <c r="B85" t="s">
        <v>330</v>
      </c>
    </row>
  </sheetData>
  <phoneticPr fontId="1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16DF-D276-4AAD-8F5E-292AF37F4DAF}">
  <dimension ref="A1:F701"/>
  <sheetViews>
    <sheetView workbookViewId="0">
      <selection activeCell="P13" sqref="P13"/>
    </sheetView>
  </sheetViews>
  <sheetFormatPr defaultRowHeight="14.4" x14ac:dyDescent="0.3"/>
  <cols>
    <col min="1" max="1" width="13.5546875" bestFit="1" customWidth="1"/>
    <col min="2" max="2" width="32.109375" bestFit="1" customWidth="1"/>
    <col min="3" max="3" width="9" bestFit="1" customWidth="1"/>
    <col min="4" max="4" width="15.88671875" bestFit="1" customWidth="1"/>
    <col min="5" max="5" width="17.109375" bestFit="1" customWidth="1"/>
    <col min="6" max="6" width="9.5546875" bestFit="1" customWidth="1"/>
  </cols>
  <sheetData>
    <row r="1" spans="1:6" x14ac:dyDescent="0.3">
      <c r="A1" s="35" t="s">
        <v>314</v>
      </c>
    </row>
    <row r="3" spans="1:6" x14ac:dyDescent="0.3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208</v>
      </c>
    </row>
    <row r="4" spans="1:6" x14ac:dyDescent="0.3">
      <c r="A4" t="s">
        <v>209</v>
      </c>
      <c r="B4" t="s">
        <v>210</v>
      </c>
      <c r="C4">
        <v>748</v>
      </c>
      <c r="D4" t="s">
        <v>211</v>
      </c>
      <c r="E4" s="53">
        <v>42069</v>
      </c>
      <c r="F4" t="s">
        <v>212</v>
      </c>
    </row>
    <row r="5" spans="1:6" x14ac:dyDescent="0.3">
      <c r="A5" t="s">
        <v>213</v>
      </c>
      <c r="B5" t="s">
        <v>214</v>
      </c>
      <c r="C5">
        <v>753</v>
      </c>
      <c r="D5" t="s">
        <v>215</v>
      </c>
      <c r="E5" s="53">
        <v>41732</v>
      </c>
      <c r="F5" t="s">
        <v>216</v>
      </c>
    </row>
    <row r="6" spans="1:6" x14ac:dyDescent="0.3">
      <c r="A6" t="s">
        <v>213</v>
      </c>
      <c r="B6" t="s">
        <v>217</v>
      </c>
      <c r="C6">
        <v>755</v>
      </c>
      <c r="D6" t="s">
        <v>218</v>
      </c>
      <c r="E6" s="53">
        <v>42042</v>
      </c>
      <c r="F6" t="s">
        <v>212</v>
      </c>
    </row>
    <row r="7" spans="1:6" x14ac:dyDescent="0.3">
      <c r="A7" t="s">
        <v>209</v>
      </c>
      <c r="B7" t="s">
        <v>219</v>
      </c>
      <c r="C7">
        <v>757</v>
      </c>
      <c r="D7" t="s">
        <v>220</v>
      </c>
      <c r="E7" s="53">
        <v>42324</v>
      </c>
      <c r="F7" t="s">
        <v>221</v>
      </c>
    </row>
    <row r="8" spans="1:6" x14ac:dyDescent="0.3">
      <c r="A8" t="s">
        <v>213</v>
      </c>
      <c r="B8" t="s">
        <v>217</v>
      </c>
      <c r="C8">
        <v>757</v>
      </c>
      <c r="D8" t="s">
        <v>222</v>
      </c>
      <c r="E8" s="53">
        <v>42300</v>
      </c>
      <c r="F8" t="s">
        <v>221</v>
      </c>
    </row>
    <row r="9" spans="1:6" x14ac:dyDescent="0.3">
      <c r="A9" t="s">
        <v>223</v>
      </c>
      <c r="B9" t="s">
        <v>224</v>
      </c>
      <c r="C9">
        <v>772</v>
      </c>
      <c r="D9" t="s">
        <v>225</v>
      </c>
      <c r="E9" s="53">
        <v>42001</v>
      </c>
      <c r="F9" t="s">
        <v>221</v>
      </c>
    </row>
    <row r="10" spans="1:6" x14ac:dyDescent="0.3">
      <c r="A10" t="s">
        <v>209</v>
      </c>
      <c r="B10" t="s">
        <v>226</v>
      </c>
      <c r="C10">
        <v>773</v>
      </c>
      <c r="D10" t="s">
        <v>215</v>
      </c>
      <c r="E10" s="53">
        <v>42096</v>
      </c>
      <c r="F10" t="s">
        <v>216</v>
      </c>
    </row>
    <row r="11" spans="1:6" x14ac:dyDescent="0.3">
      <c r="A11" t="s">
        <v>223</v>
      </c>
      <c r="B11" t="s">
        <v>227</v>
      </c>
      <c r="C11">
        <v>781</v>
      </c>
      <c r="D11" t="s">
        <v>215</v>
      </c>
      <c r="E11" s="53">
        <v>41870</v>
      </c>
      <c r="F11" t="s">
        <v>228</v>
      </c>
    </row>
    <row r="12" spans="1:6" x14ac:dyDescent="0.3">
      <c r="A12" t="s">
        <v>213</v>
      </c>
      <c r="B12" t="s">
        <v>229</v>
      </c>
      <c r="C12">
        <v>784</v>
      </c>
      <c r="D12" t="s">
        <v>230</v>
      </c>
      <c r="E12" s="53">
        <v>42241</v>
      </c>
      <c r="F12" t="s">
        <v>228</v>
      </c>
    </row>
    <row r="13" spans="1:6" x14ac:dyDescent="0.3">
      <c r="A13" t="s">
        <v>231</v>
      </c>
      <c r="B13" t="s">
        <v>232</v>
      </c>
      <c r="C13">
        <v>785</v>
      </c>
      <c r="D13" t="s">
        <v>225</v>
      </c>
      <c r="E13" s="53">
        <v>41920</v>
      </c>
      <c r="F13" t="s">
        <v>221</v>
      </c>
    </row>
    <row r="14" spans="1:6" x14ac:dyDescent="0.3">
      <c r="A14" t="s">
        <v>233</v>
      </c>
      <c r="B14" t="s">
        <v>234</v>
      </c>
      <c r="C14">
        <v>786</v>
      </c>
      <c r="D14" t="s">
        <v>235</v>
      </c>
      <c r="E14" s="53">
        <v>42208</v>
      </c>
      <c r="F14" t="s">
        <v>228</v>
      </c>
    </row>
    <row r="15" spans="1:6" x14ac:dyDescent="0.3">
      <c r="A15" t="s">
        <v>236</v>
      </c>
      <c r="B15" t="s">
        <v>237</v>
      </c>
      <c r="C15">
        <v>789</v>
      </c>
      <c r="D15" t="s">
        <v>211</v>
      </c>
      <c r="E15" s="53">
        <v>42140</v>
      </c>
      <c r="F15" t="s">
        <v>216</v>
      </c>
    </row>
    <row r="16" spans="1:6" x14ac:dyDescent="0.3">
      <c r="A16" t="s">
        <v>236</v>
      </c>
      <c r="B16" t="s">
        <v>238</v>
      </c>
      <c r="C16">
        <v>800</v>
      </c>
      <c r="D16" t="s">
        <v>235</v>
      </c>
      <c r="E16" s="53">
        <v>42077</v>
      </c>
      <c r="F16" t="s">
        <v>212</v>
      </c>
    </row>
    <row r="17" spans="1:6" x14ac:dyDescent="0.3">
      <c r="A17" t="s">
        <v>239</v>
      </c>
      <c r="B17" t="s">
        <v>240</v>
      </c>
      <c r="C17">
        <v>800</v>
      </c>
      <c r="D17" t="s">
        <v>218</v>
      </c>
      <c r="E17" s="53">
        <v>41889</v>
      </c>
      <c r="F17" t="s">
        <v>228</v>
      </c>
    </row>
    <row r="18" spans="1:6" x14ac:dyDescent="0.3">
      <c r="A18" t="s">
        <v>223</v>
      </c>
      <c r="B18" t="s">
        <v>241</v>
      </c>
      <c r="C18">
        <v>802</v>
      </c>
      <c r="D18" t="s">
        <v>215</v>
      </c>
      <c r="E18" s="53">
        <v>42022</v>
      </c>
      <c r="F18" t="s">
        <v>212</v>
      </c>
    </row>
    <row r="19" spans="1:6" x14ac:dyDescent="0.3">
      <c r="A19" t="s">
        <v>209</v>
      </c>
      <c r="B19" t="s">
        <v>242</v>
      </c>
      <c r="C19">
        <v>803</v>
      </c>
      <c r="D19" t="s">
        <v>220</v>
      </c>
      <c r="E19" s="53">
        <v>42352</v>
      </c>
      <c r="F19" t="s">
        <v>221</v>
      </c>
    </row>
    <row r="20" spans="1:6" x14ac:dyDescent="0.3">
      <c r="A20" t="s">
        <v>239</v>
      </c>
      <c r="B20" t="s">
        <v>243</v>
      </c>
      <c r="C20">
        <v>804</v>
      </c>
      <c r="D20" t="s">
        <v>211</v>
      </c>
      <c r="E20" s="53">
        <v>42158</v>
      </c>
      <c r="F20" t="s">
        <v>216</v>
      </c>
    </row>
    <row r="21" spans="1:6" x14ac:dyDescent="0.3">
      <c r="A21" t="s">
        <v>231</v>
      </c>
      <c r="B21" t="s">
        <v>244</v>
      </c>
      <c r="C21">
        <v>807</v>
      </c>
      <c r="D21" t="s">
        <v>245</v>
      </c>
      <c r="E21" s="53">
        <v>41696</v>
      </c>
      <c r="F21" t="s">
        <v>212</v>
      </c>
    </row>
    <row r="22" spans="1:6" x14ac:dyDescent="0.3">
      <c r="A22" t="s">
        <v>246</v>
      </c>
      <c r="B22" t="s">
        <v>247</v>
      </c>
      <c r="C22">
        <v>808</v>
      </c>
      <c r="D22" t="s">
        <v>220</v>
      </c>
      <c r="E22" s="53">
        <v>41677</v>
      </c>
      <c r="F22" t="s">
        <v>212</v>
      </c>
    </row>
    <row r="23" spans="1:6" x14ac:dyDescent="0.3">
      <c r="A23" t="s">
        <v>233</v>
      </c>
      <c r="B23" t="s">
        <v>248</v>
      </c>
      <c r="C23">
        <v>811</v>
      </c>
      <c r="D23" t="s">
        <v>230</v>
      </c>
      <c r="E23" s="53">
        <v>42204</v>
      </c>
      <c r="F23" t="s">
        <v>228</v>
      </c>
    </row>
    <row r="24" spans="1:6" x14ac:dyDescent="0.3">
      <c r="A24" t="s">
        <v>223</v>
      </c>
      <c r="B24" t="s">
        <v>249</v>
      </c>
      <c r="C24">
        <v>814</v>
      </c>
      <c r="D24" t="s">
        <v>245</v>
      </c>
      <c r="E24" s="53">
        <v>41995</v>
      </c>
      <c r="F24" t="s">
        <v>221</v>
      </c>
    </row>
    <row r="25" spans="1:6" x14ac:dyDescent="0.3">
      <c r="A25" t="s">
        <v>233</v>
      </c>
      <c r="B25" t="s">
        <v>250</v>
      </c>
      <c r="C25">
        <v>815</v>
      </c>
      <c r="D25" t="s">
        <v>220</v>
      </c>
      <c r="E25" s="53">
        <v>41905</v>
      </c>
      <c r="F25" t="s">
        <v>228</v>
      </c>
    </row>
    <row r="26" spans="1:6" x14ac:dyDescent="0.3">
      <c r="A26" t="s">
        <v>233</v>
      </c>
      <c r="B26" t="s">
        <v>251</v>
      </c>
      <c r="C26">
        <v>816</v>
      </c>
      <c r="D26" t="s">
        <v>245</v>
      </c>
      <c r="E26" s="53">
        <v>41749</v>
      </c>
      <c r="F26" t="s">
        <v>216</v>
      </c>
    </row>
    <row r="27" spans="1:6" x14ac:dyDescent="0.3">
      <c r="A27" t="s">
        <v>233</v>
      </c>
      <c r="B27" t="s">
        <v>252</v>
      </c>
      <c r="C27">
        <v>820</v>
      </c>
      <c r="D27" t="s">
        <v>245</v>
      </c>
      <c r="E27" s="53">
        <v>42290</v>
      </c>
      <c r="F27" t="s">
        <v>221</v>
      </c>
    </row>
    <row r="28" spans="1:6" x14ac:dyDescent="0.3">
      <c r="A28" t="s">
        <v>236</v>
      </c>
      <c r="B28" t="s">
        <v>253</v>
      </c>
      <c r="C28">
        <v>825</v>
      </c>
      <c r="D28" t="s">
        <v>254</v>
      </c>
      <c r="E28" s="53">
        <v>42147</v>
      </c>
      <c r="F28" t="s">
        <v>216</v>
      </c>
    </row>
    <row r="29" spans="1:6" x14ac:dyDescent="0.3">
      <c r="A29" t="s">
        <v>233</v>
      </c>
      <c r="B29" t="s">
        <v>255</v>
      </c>
      <c r="C29">
        <v>826</v>
      </c>
      <c r="D29" t="s">
        <v>211</v>
      </c>
      <c r="E29" s="53">
        <v>42328</v>
      </c>
      <c r="F29" t="s">
        <v>221</v>
      </c>
    </row>
    <row r="30" spans="1:6" x14ac:dyDescent="0.3">
      <c r="A30" t="s">
        <v>236</v>
      </c>
      <c r="B30" t="s">
        <v>238</v>
      </c>
      <c r="C30">
        <v>830</v>
      </c>
      <c r="D30" t="s">
        <v>215</v>
      </c>
      <c r="E30" s="53">
        <v>41769</v>
      </c>
      <c r="F30" t="s">
        <v>216</v>
      </c>
    </row>
    <row r="31" spans="1:6" x14ac:dyDescent="0.3">
      <c r="A31" t="s">
        <v>213</v>
      </c>
      <c r="B31" t="s">
        <v>256</v>
      </c>
      <c r="C31">
        <v>830</v>
      </c>
      <c r="D31" t="s">
        <v>222</v>
      </c>
      <c r="E31" s="53">
        <v>41733</v>
      </c>
      <c r="F31" t="s">
        <v>216</v>
      </c>
    </row>
    <row r="32" spans="1:6" x14ac:dyDescent="0.3">
      <c r="A32" t="s">
        <v>231</v>
      </c>
      <c r="B32" t="s">
        <v>257</v>
      </c>
      <c r="C32">
        <v>837</v>
      </c>
      <c r="D32" t="s">
        <v>254</v>
      </c>
      <c r="E32" s="53">
        <v>42362</v>
      </c>
      <c r="F32" t="s">
        <v>221</v>
      </c>
    </row>
    <row r="33" spans="1:6" x14ac:dyDescent="0.3">
      <c r="A33" t="s">
        <v>233</v>
      </c>
      <c r="B33" t="s">
        <v>258</v>
      </c>
      <c r="C33">
        <v>838</v>
      </c>
      <c r="D33" t="s">
        <v>245</v>
      </c>
      <c r="E33" s="53">
        <v>41983</v>
      </c>
      <c r="F33" t="s">
        <v>221</v>
      </c>
    </row>
    <row r="34" spans="1:6" x14ac:dyDescent="0.3">
      <c r="A34" t="s">
        <v>236</v>
      </c>
      <c r="B34" t="s">
        <v>253</v>
      </c>
      <c r="C34">
        <v>844</v>
      </c>
      <c r="D34" t="s">
        <v>220</v>
      </c>
      <c r="E34" s="53">
        <v>42130</v>
      </c>
      <c r="F34" t="s">
        <v>216</v>
      </c>
    </row>
    <row r="35" spans="1:6" x14ac:dyDescent="0.3">
      <c r="A35" t="s">
        <v>233</v>
      </c>
      <c r="B35" t="s">
        <v>248</v>
      </c>
      <c r="C35">
        <v>845</v>
      </c>
      <c r="D35" t="s">
        <v>215</v>
      </c>
      <c r="E35" s="53">
        <v>42282</v>
      </c>
      <c r="F35" t="s">
        <v>221</v>
      </c>
    </row>
    <row r="36" spans="1:6" x14ac:dyDescent="0.3">
      <c r="A36" t="s">
        <v>223</v>
      </c>
      <c r="B36" t="s">
        <v>259</v>
      </c>
      <c r="C36">
        <v>846</v>
      </c>
      <c r="D36" t="s">
        <v>222</v>
      </c>
      <c r="E36" s="53">
        <v>42089</v>
      </c>
      <c r="F36" t="s">
        <v>212</v>
      </c>
    </row>
    <row r="37" spans="1:6" x14ac:dyDescent="0.3">
      <c r="A37" t="s">
        <v>233</v>
      </c>
      <c r="B37" t="s">
        <v>248</v>
      </c>
      <c r="C37">
        <v>849</v>
      </c>
      <c r="D37" t="s">
        <v>230</v>
      </c>
      <c r="E37" s="53">
        <v>41773</v>
      </c>
      <c r="F37" t="s">
        <v>216</v>
      </c>
    </row>
    <row r="38" spans="1:6" x14ac:dyDescent="0.3">
      <c r="A38" t="s">
        <v>233</v>
      </c>
      <c r="B38" t="s">
        <v>260</v>
      </c>
      <c r="C38">
        <v>851</v>
      </c>
      <c r="D38" t="s">
        <v>225</v>
      </c>
      <c r="E38" s="53">
        <v>42346</v>
      </c>
      <c r="F38" t="s">
        <v>221</v>
      </c>
    </row>
    <row r="39" spans="1:6" x14ac:dyDescent="0.3">
      <c r="A39" t="s">
        <v>209</v>
      </c>
      <c r="B39" t="s">
        <v>261</v>
      </c>
      <c r="C39">
        <v>860</v>
      </c>
      <c r="D39" t="s">
        <v>230</v>
      </c>
      <c r="E39" s="53">
        <v>42040</v>
      </c>
      <c r="F39" t="s">
        <v>212</v>
      </c>
    </row>
    <row r="40" spans="1:6" x14ac:dyDescent="0.3">
      <c r="A40" t="s">
        <v>213</v>
      </c>
      <c r="B40" t="s">
        <v>214</v>
      </c>
      <c r="C40">
        <v>862</v>
      </c>
      <c r="D40" t="s">
        <v>215</v>
      </c>
      <c r="E40" s="53">
        <v>42310</v>
      </c>
      <c r="F40" t="s">
        <v>221</v>
      </c>
    </row>
    <row r="41" spans="1:6" x14ac:dyDescent="0.3">
      <c r="A41" t="s">
        <v>246</v>
      </c>
      <c r="B41" t="s">
        <v>262</v>
      </c>
      <c r="C41">
        <v>866</v>
      </c>
      <c r="D41" t="s">
        <v>215</v>
      </c>
      <c r="E41" s="53">
        <v>41681</v>
      </c>
      <c r="F41" t="s">
        <v>212</v>
      </c>
    </row>
    <row r="42" spans="1:6" x14ac:dyDescent="0.3">
      <c r="A42" t="s">
        <v>223</v>
      </c>
      <c r="B42" t="s">
        <v>263</v>
      </c>
      <c r="C42">
        <v>872</v>
      </c>
      <c r="D42" t="s">
        <v>222</v>
      </c>
      <c r="E42" s="53">
        <v>41962</v>
      </c>
      <c r="F42" t="s">
        <v>221</v>
      </c>
    </row>
    <row r="43" spans="1:6" x14ac:dyDescent="0.3">
      <c r="A43" t="s">
        <v>209</v>
      </c>
      <c r="B43" t="s">
        <v>264</v>
      </c>
      <c r="C43">
        <v>874</v>
      </c>
      <c r="D43" t="s">
        <v>245</v>
      </c>
      <c r="E43" s="53">
        <v>41964</v>
      </c>
      <c r="F43" t="s">
        <v>221</v>
      </c>
    </row>
    <row r="44" spans="1:6" x14ac:dyDescent="0.3">
      <c r="A44" t="s">
        <v>236</v>
      </c>
      <c r="B44" t="s">
        <v>253</v>
      </c>
      <c r="C44">
        <v>874</v>
      </c>
      <c r="D44" t="s">
        <v>235</v>
      </c>
      <c r="E44" s="53">
        <v>42366</v>
      </c>
      <c r="F44" t="s">
        <v>221</v>
      </c>
    </row>
    <row r="45" spans="1:6" x14ac:dyDescent="0.3">
      <c r="A45" t="s">
        <v>233</v>
      </c>
      <c r="B45" t="s">
        <v>265</v>
      </c>
      <c r="C45">
        <v>895</v>
      </c>
      <c r="D45" t="s">
        <v>215</v>
      </c>
      <c r="E45" s="53">
        <v>42050</v>
      </c>
      <c r="F45" t="s">
        <v>212</v>
      </c>
    </row>
    <row r="46" spans="1:6" x14ac:dyDescent="0.3">
      <c r="A46" t="s">
        <v>213</v>
      </c>
      <c r="B46" t="s">
        <v>266</v>
      </c>
      <c r="C46">
        <v>896</v>
      </c>
      <c r="D46" t="s">
        <v>218</v>
      </c>
      <c r="E46" s="53">
        <v>42008</v>
      </c>
      <c r="F46" t="s">
        <v>212</v>
      </c>
    </row>
    <row r="47" spans="1:6" x14ac:dyDescent="0.3">
      <c r="A47" t="s">
        <v>246</v>
      </c>
      <c r="B47" t="s">
        <v>262</v>
      </c>
      <c r="C47">
        <v>898</v>
      </c>
      <c r="D47" t="s">
        <v>254</v>
      </c>
      <c r="E47" s="53">
        <v>42080</v>
      </c>
      <c r="F47" t="s">
        <v>212</v>
      </c>
    </row>
    <row r="48" spans="1:6" x14ac:dyDescent="0.3">
      <c r="A48" t="s">
        <v>239</v>
      </c>
      <c r="B48" t="s">
        <v>267</v>
      </c>
      <c r="C48">
        <v>907</v>
      </c>
      <c r="D48" t="s">
        <v>215</v>
      </c>
      <c r="E48" s="53">
        <v>41745</v>
      </c>
      <c r="F48" t="s">
        <v>216</v>
      </c>
    </row>
    <row r="49" spans="1:6" x14ac:dyDescent="0.3">
      <c r="A49" t="s">
        <v>213</v>
      </c>
      <c r="B49" t="s">
        <v>268</v>
      </c>
      <c r="C49">
        <v>911</v>
      </c>
      <c r="D49" t="s">
        <v>218</v>
      </c>
      <c r="E49" s="53">
        <v>42335</v>
      </c>
      <c r="F49" t="s">
        <v>221</v>
      </c>
    </row>
    <row r="50" spans="1:6" x14ac:dyDescent="0.3">
      <c r="A50" t="s">
        <v>239</v>
      </c>
      <c r="B50" t="s">
        <v>269</v>
      </c>
      <c r="C50">
        <v>916</v>
      </c>
      <c r="D50" t="s">
        <v>215</v>
      </c>
      <c r="E50" s="53">
        <v>41828</v>
      </c>
      <c r="F50" t="s">
        <v>228</v>
      </c>
    </row>
    <row r="51" spans="1:6" x14ac:dyDescent="0.3">
      <c r="A51" t="s">
        <v>209</v>
      </c>
      <c r="B51" t="s">
        <v>270</v>
      </c>
      <c r="C51">
        <v>917</v>
      </c>
      <c r="D51" t="s">
        <v>211</v>
      </c>
      <c r="E51" s="53">
        <v>42009</v>
      </c>
      <c r="F51" t="s">
        <v>212</v>
      </c>
    </row>
    <row r="52" spans="1:6" x14ac:dyDescent="0.3">
      <c r="A52" t="s">
        <v>213</v>
      </c>
      <c r="B52" t="s">
        <v>217</v>
      </c>
      <c r="C52">
        <v>921</v>
      </c>
      <c r="D52" t="s">
        <v>218</v>
      </c>
      <c r="E52" s="53">
        <v>42192</v>
      </c>
      <c r="F52" t="s">
        <v>228</v>
      </c>
    </row>
    <row r="53" spans="1:6" x14ac:dyDescent="0.3">
      <c r="A53" t="s">
        <v>231</v>
      </c>
      <c r="B53" t="s">
        <v>271</v>
      </c>
      <c r="C53">
        <v>922</v>
      </c>
      <c r="D53" t="s">
        <v>218</v>
      </c>
      <c r="E53" s="53">
        <v>41646</v>
      </c>
      <c r="F53" t="s">
        <v>212</v>
      </c>
    </row>
    <row r="54" spans="1:6" x14ac:dyDescent="0.3">
      <c r="A54" t="s">
        <v>239</v>
      </c>
      <c r="B54" t="s">
        <v>272</v>
      </c>
      <c r="C54">
        <v>925</v>
      </c>
      <c r="D54" t="s">
        <v>211</v>
      </c>
      <c r="E54" s="53">
        <v>41858</v>
      </c>
      <c r="F54" t="s">
        <v>228</v>
      </c>
    </row>
    <row r="55" spans="1:6" x14ac:dyDescent="0.3">
      <c r="A55" t="s">
        <v>223</v>
      </c>
      <c r="B55" t="s">
        <v>273</v>
      </c>
      <c r="C55">
        <v>926</v>
      </c>
      <c r="D55" t="s">
        <v>254</v>
      </c>
      <c r="E55" s="53">
        <v>41986</v>
      </c>
      <c r="F55" t="s">
        <v>221</v>
      </c>
    </row>
    <row r="56" spans="1:6" x14ac:dyDescent="0.3">
      <c r="A56" t="s">
        <v>246</v>
      </c>
      <c r="B56" t="s">
        <v>274</v>
      </c>
      <c r="C56">
        <v>932</v>
      </c>
      <c r="D56" t="s">
        <v>254</v>
      </c>
      <c r="E56" s="53">
        <v>42297</v>
      </c>
      <c r="F56" t="s">
        <v>221</v>
      </c>
    </row>
    <row r="57" spans="1:6" x14ac:dyDescent="0.3">
      <c r="A57" t="s">
        <v>239</v>
      </c>
      <c r="B57" t="s">
        <v>243</v>
      </c>
      <c r="C57">
        <v>935</v>
      </c>
      <c r="D57" t="s">
        <v>235</v>
      </c>
      <c r="E57" s="53">
        <v>42060</v>
      </c>
      <c r="F57" t="s">
        <v>212</v>
      </c>
    </row>
    <row r="58" spans="1:6" x14ac:dyDescent="0.3">
      <c r="A58" t="s">
        <v>231</v>
      </c>
      <c r="B58" t="s">
        <v>275</v>
      </c>
      <c r="C58">
        <v>940</v>
      </c>
      <c r="D58" t="s">
        <v>225</v>
      </c>
      <c r="E58" s="53">
        <v>42052</v>
      </c>
      <c r="F58" t="s">
        <v>212</v>
      </c>
    </row>
    <row r="59" spans="1:6" x14ac:dyDescent="0.3">
      <c r="A59" t="s">
        <v>223</v>
      </c>
      <c r="B59" t="s">
        <v>276</v>
      </c>
      <c r="C59">
        <v>942</v>
      </c>
      <c r="D59" t="s">
        <v>225</v>
      </c>
      <c r="E59" s="53">
        <v>42117</v>
      </c>
      <c r="F59" t="s">
        <v>216</v>
      </c>
    </row>
    <row r="60" spans="1:6" x14ac:dyDescent="0.3">
      <c r="A60" t="s">
        <v>239</v>
      </c>
      <c r="B60" t="s">
        <v>243</v>
      </c>
      <c r="C60">
        <v>945</v>
      </c>
      <c r="D60" t="s">
        <v>235</v>
      </c>
      <c r="E60" s="53">
        <v>42219</v>
      </c>
      <c r="F60" t="s">
        <v>228</v>
      </c>
    </row>
    <row r="61" spans="1:6" x14ac:dyDescent="0.3">
      <c r="A61" t="s">
        <v>213</v>
      </c>
      <c r="B61" t="s">
        <v>277</v>
      </c>
      <c r="C61">
        <v>953</v>
      </c>
      <c r="D61" t="s">
        <v>230</v>
      </c>
      <c r="E61" s="53">
        <v>42351</v>
      </c>
      <c r="F61" t="s">
        <v>221</v>
      </c>
    </row>
    <row r="62" spans="1:6" x14ac:dyDescent="0.3">
      <c r="A62" t="s">
        <v>231</v>
      </c>
      <c r="B62" t="s">
        <v>275</v>
      </c>
      <c r="C62">
        <v>964</v>
      </c>
      <c r="D62" t="s">
        <v>230</v>
      </c>
      <c r="E62" s="53">
        <v>41996</v>
      </c>
      <c r="F62" t="s">
        <v>221</v>
      </c>
    </row>
    <row r="63" spans="1:6" x14ac:dyDescent="0.3">
      <c r="A63" t="s">
        <v>209</v>
      </c>
      <c r="B63" t="s">
        <v>264</v>
      </c>
      <c r="C63">
        <v>966</v>
      </c>
      <c r="D63" t="s">
        <v>222</v>
      </c>
      <c r="E63" s="53">
        <v>41741</v>
      </c>
      <c r="F63" t="s">
        <v>216</v>
      </c>
    </row>
    <row r="64" spans="1:6" x14ac:dyDescent="0.3">
      <c r="A64" t="s">
        <v>213</v>
      </c>
      <c r="B64" t="s">
        <v>266</v>
      </c>
      <c r="C64">
        <v>969</v>
      </c>
      <c r="D64" t="s">
        <v>215</v>
      </c>
      <c r="E64" s="53">
        <v>42039</v>
      </c>
      <c r="F64" t="s">
        <v>212</v>
      </c>
    </row>
    <row r="65" spans="1:6" x14ac:dyDescent="0.3">
      <c r="A65" t="s">
        <v>231</v>
      </c>
      <c r="B65" t="s">
        <v>271</v>
      </c>
      <c r="C65">
        <v>970</v>
      </c>
      <c r="D65" t="s">
        <v>245</v>
      </c>
      <c r="E65" s="53">
        <v>41860</v>
      </c>
      <c r="F65" t="s">
        <v>228</v>
      </c>
    </row>
    <row r="66" spans="1:6" x14ac:dyDescent="0.3">
      <c r="A66" t="s">
        <v>213</v>
      </c>
      <c r="B66" t="s">
        <v>278</v>
      </c>
      <c r="C66">
        <v>972</v>
      </c>
      <c r="D66" t="s">
        <v>254</v>
      </c>
      <c r="E66" s="53">
        <v>42322</v>
      </c>
      <c r="F66" t="s">
        <v>221</v>
      </c>
    </row>
    <row r="67" spans="1:6" x14ac:dyDescent="0.3">
      <c r="A67" t="s">
        <v>231</v>
      </c>
      <c r="B67" t="s">
        <v>279</v>
      </c>
      <c r="C67">
        <v>973</v>
      </c>
      <c r="D67" t="s">
        <v>254</v>
      </c>
      <c r="E67" s="53">
        <v>42339</v>
      </c>
      <c r="F67" t="s">
        <v>221</v>
      </c>
    </row>
    <row r="68" spans="1:6" x14ac:dyDescent="0.3">
      <c r="A68" t="s">
        <v>209</v>
      </c>
      <c r="B68" t="s">
        <v>242</v>
      </c>
      <c r="C68">
        <v>982</v>
      </c>
      <c r="D68" t="s">
        <v>222</v>
      </c>
      <c r="E68" s="53">
        <v>42174</v>
      </c>
      <c r="F68" t="s">
        <v>216</v>
      </c>
    </row>
    <row r="69" spans="1:6" x14ac:dyDescent="0.3">
      <c r="A69" t="s">
        <v>223</v>
      </c>
      <c r="B69" t="s">
        <v>280</v>
      </c>
      <c r="C69">
        <v>991</v>
      </c>
      <c r="D69" t="s">
        <v>215</v>
      </c>
      <c r="E69" s="53">
        <v>42144</v>
      </c>
      <c r="F69" t="s">
        <v>216</v>
      </c>
    </row>
    <row r="70" spans="1:6" x14ac:dyDescent="0.3">
      <c r="A70" t="s">
        <v>233</v>
      </c>
      <c r="B70" t="s">
        <v>281</v>
      </c>
      <c r="C70">
        <v>991</v>
      </c>
      <c r="D70" t="s">
        <v>225</v>
      </c>
      <c r="E70" s="53">
        <v>41842</v>
      </c>
      <c r="F70" t="s">
        <v>228</v>
      </c>
    </row>
    <row r="71" spans="1:6" x14ac:dyDescent="0.3">
      <c r="A71" t="s">
        <v>223</v>
      </c>
      <c r="B71" t="s">
        <v>282</v>
      </c>
      <c r="C71">
        <v>998</v>
      </c>
      <c r="D71" t="s">
        <v>215</v>
      </c>
      <c r="E71" s="53">
        <v>41680</v>
      </c>
      <c r="F71" t="s">
        <v>212</v>
      </c>
    </row>
    <row r="72" spans="1:6" x14ac:dyDescent="0.3">
      <c r="A72" t="s">
        <v>223</v>
      </c>
      <c r="B72" t="s">
        <v>263</v>
      </c>
      <c r="C72">
        <v>1004</v>
      </c>
      <c r="D72" t="s">
        <v>254</v>
      </c>
      <c r="E72" s="53">
        <v>42207</v>
      </c>
      <c r="F72" t="s">
        <v>228</v>
      </c>
    </row>
    <row r="73" spans="1:6" x14ac:dyDescent="0.3">
      <c r="A73" t="s">
        <v>223</v>
      </c>
      <c r="B73" t="s">
        <v>263</v>
      </c>
      <c r="C73">
        <v>1008</v>
      </c>
      <c r="D73" t="s">
        <v>245</v>
      </c>
      <c r="E73" s="53">
        <v>42029</v>
      </c>
      <c r="F73" t="s">
        <v>212</v>
      </c>
    </row>
    <row r="74" spans="1:6" x14ac:dyDescent="0.3">
      <c r="A74" t="s">
        <v>236</v>
      </c>
      <c r="B74" t="s">
        <v>237</v>
      </c>
      <c r="C74">
        <v>1010</v>
      </c>
      <c r="D74" t="s">
        <v>235</v>
      </c>
      <c r="E74" s="53">
        <v>42347</v>
      </c>
      <c r="F74" t="s">
        <v>221</v>
      </c>
    </row>
    <row r="75" spans="1:6" x14ac:dyDescent="0.3">
      <c r="A75" t="s">
        <v>231</v>
      </c>
      <c r="B75" t="s">
        <v>257</v>
      </c>
      <c r="C75">
        <v>1013</v>
      </c>
      <c r="D75" t="s">
        <v>218</v>
      </c>
      <c r="E75" s="53">
        <v>42136</v>
      </c>
      <c r="F75" t="s">
        <v>216</v>
      </c>
    </row>
    <row r="76" spans="1:6" x14ac:dyDescent="0.3">
      <c r="A76" t="s">
        <v>233</v>
      </c>
      <c r="B76" t="s">
        <v>248</v>
      </c>
      <c r="C76">
        <v>1015</v>
      </c>
      <c r="D76" t="s">
        <v>235</v>
      </c>
      <c r="E76" s="53">
        <v>42065</v>
      </c>
      <c r="F76" t="s">
        <v>212</v>
      </c>
    </row>
    <row r="77" spans="1:6" x14ac:dyDescent="0.3">
      <c r="A77" t="s">
        <v>239</v>
      </c>
      <c r="B77" t="s">
        <v>269</v>
      </c>
      <c r="C77">
        <v>1015</v>
      </c>
      <c r="D77" t="s">
        <v>254</v>
      </c>
      <c r="E77" s="53">
        <v>42103</v>
      </c>
      <c r="F77" t="s">
        <v>216</v>
      </c>
    </row>
    <row r="78" spans="1:6" x14ac:dyDescent="0.3">
      <c r="A78" t="s">
        <v>223</v>
      </c>
      <c r="B78" t="s">
        <v>249</v>
      </c>
      <c r="C78">
        <v>1017</v>
      </c>
      <c r="D78" t="s">
        <v>211</v>
      </c>
      <c r="E78" s="53">
        <v>42265</v>
      </c>
      <c r="F78" t="s">
        <v>228</v>
      </c>
    </row>
    <row r="79" spans="1:6" x14ac:dyDescent="0.3">
      <c r="A79" t="s">
        <v>231</v>
      </c>
      <c r="B79" t="s">
        <v>271</v>
      </c>
      <c r="C79">
        <v>1018</v>
      </c>
      <c r="D79" t="s">
        <v>220</v>
      </c>
      <c r="E79" s="53">
        <v>41775</v>
      </c>
      <c r="F79" t="s">
        <v>216</v>
      </c>
    </row>
    <row r="80" spans="1:6" x14ac:dyDescent="0.3">
      <c r="A80" t="s">
        <v>213</v>
      </c>
      <c r="B80" t="s">
        <v>277</v>
      </c>
      <c r="C80">
        <v>1018</v>
      </c>
      <c r="D80" t="s">
        <v>215</v>
      </c>
      <c r="E80" s="53">
        <v>41838</v>
      </c>
      <c r="F80" t="s">
        <v>228</v>
      </c>
    </row>
    <row r="81" spans="1:6" x14ac:dyDescent="0.3">
      <c r="A81" t="s">
        <v>233</v>
      </c>
      <c r="B81" t="s">
        <v>255</v>
      </c>
      <c r="C81">
        <v>1019</v>
      </c>
      <c r="D81" t="s">
        <v>222</v>
      </c>
      <c r="E81" s="53">
        <v>41981</v>
      </c>
      <c r="F81" t="s">
        <v>221</v>
      </c>
    </row>
    <row r="82" spans="1:6" x14ac:dyDescent="0.3">
      <c r="A82" t="s">
        <v>246</v>
      </c>
      <c r="B82" t="s">
        <v>262</v>
      </c>
      <c r="C82">
        <v>1022</v>
      </c>
      <c r="D82" t="s">
        <v>215</v>
      </c>
      <c r="E82" s="53">
        <v>42017</v>
      </c>
      <c r="F82" t="s">
        <v>212</v>
      </c>
    </row>
    <row r="83" spans="1:6" x14ac:dyDescent="0.3">
      <c r="A83" t="s">
        <v>239</v>
      </c>
      <c r="B83" t="s">
        <v>272</v>
      </c>
      <c r="C83">
        <v>1022</v>
      </c>
      <c r="D83" t="s">
        <v>225</v>
      </c>
      <c r="E83" s="53">
        <v>41779</v>
      </c>
      <c r="F83" t="s">
        <v>216</v>
      </c>
    </row>
    <row r="84" spans="1:6" x14ac:dyDescent="0.3">
      <c r="A84" t="s">
        <v>233</v>
      </c>
      <c r="B84" t="s">
        <v>250</v>
      </c>
      <c r="C84">
        <v>1033</v>
      </c>
      <c r="D84" t="s">
        <v>222</v>
      </c>
      <c r="E84" s="53">
        <v>41688</v>
      </c>
      <c r="F84" t="s">
        <v>212</v>
      </c>
    </row>
    <row r="85" spans="1:6" x14ac:dyDescent="0.3">
      <c r="A85" t="s">
        <v>223</v>
      </c>
      <c r="B85" t="s">
        <v>282</v>
      </c>
      <c r="C85">
        <v>1034</v>
      </c>
      <c r="D85" t="s">
        <v>211</v>
      </c>
      <c r="E85" s="53">
        <v>42254</v>
      </c>
      <c r="F85" t="s">
        <v>228</v>
      </c>
    </row>
    <row r="86" spans="1:6" x14ac:dyDescent="0.3">
      <c r="A86" t="s">
        <v>233</v>
      </c>
      <c r="B86" t="s">
        <v>283</v>
      </c>
      <c r="C86">
        <v>1037</v>
      </c>
      <c r="D86" t="s">
        <v>245</v>
      </c>
      <c r="E86" s="53">
        <v>42164</v>
      </c>
      <c r="F86" t="s">
        <v>216</v>
      </c>
    </row>
    <row r="87" spans="1:6" x14ac:dyDescent="0.3">
      <c r="A87" t="s">
        <v>209</v>
      </c>
      <c r="B87" t="s">
        <v>270</v>
      </c>
      <c r="C87">
        <v>1037</v>
      </c>
      <c r="D87" t="s">
        <v>218</v>
      </c>
      <c r="E87" s="53">
        <v>41885</v>
      </c>
      <c r="F87" t="s">
        <v>228</v>
      </c>
    </row>
    <row r="88" spans="1:6" x14ac:dyDescent="0.3">
      <c r="A88" t="s">
        <v>236</v>
      </c>
      <c r="B88" t="s">
        <v>284</v>
      </c>
      <c r="C88">
        <v>1041</v>
      </c>
      <c r="D88" t="s">
        <v>211</v>
      </c>
      <c r="E88" s="53">
        <v>42301</v>
      </c>
      <c r="F88" t="s">
        <v>221</v>
      </c>
    </row>
    <row r="89" spans="1:6" x14ac:dyDescent="0.3">
      <c r="A89" t="s">
        <v>233</v>
      </c>
      <c r="B89" t="s">
        <v>285</v>
      </c>
      <c r="C89">
        <v>1044</v>
      </c>
      <c r="D89" t="s">
        <v>211</v>
      </c>
      <c r="E89" s="53">
        <v>42345</v>
      </c>
      <c r="F89" t="s">
        <v>221</v>
      </c>
    </row>
    <row r="90" spans="1:6" x14ac:dyDescent="0.3">
      <c r="A90" t="s">
        <v>236</v>
      </c>
      <c r="B90" t="s">
        <v>286</v>
      </c>
      <c r="C90">
        <v>1047</v>
      </c>
      <c r="D90" t="s">
        <v>230</v>
      </c>
      <c r="E90" s="53">
        <v>41999</v>
      </c>
      <c r="F90" t="s">
        <v>221</v>
      </c>
    </row>
    <row r="91" spans="1:6" x14ac:dyDescent="0.3">
      <c r="A91" t="s">
        <v>223</v>
      </c>
      <c r="B91" t="s">
        <v>282</v>
      </c>
      <c r="C91">
        <v>1050</v>
      </c>
      <c r="D91" t="s">
        <v>222</v>
      </c>
      <c r="E91" s="53">
        <v>42032</v>
      </c>
      <c r="F91" t="s">
        <v>212</v>
      </c>
    </row>
    <row r="92" spans="1:6" x14ac:dyDescent="0.3">
      <c r="A92" t="s">
        <v>246</v>
      </c>
      <c r="B92" t="s">
        <v>287</v>
      </c>
      <c r="C92">
        <v>1054</v>
      </c>
      <c r="D92" t="s">
        <v>254</v>
      </c>
      <c r="E92" s="53">
        <v>41681</v>
      </c>
      <c r="F92" t="s">
        <v>212</v>
      </c>
    </row>
    <row r="93" spans="1:6" x14ac:dyDescent="0.3">
      <c r="A93" t="s">
        <v>213</v>
      </c>
      <c r="B93" t="s">
        <v>288</v>
      </c>
      <c r="C93">
        <v>1054</v>
      </c>
      <c r="D93" t="s">
        <v>230</v>
      </c>
      <c r="E93" s="53">
        <v>41952</v>
      </c>
      <c r="F93" t="s">
        <v>221</v>
      </c>
    </row>
    <row r="94" spans="1:6" x14ac:dyDescent="0.3">
      <c r="A94" t="s">
        <v>223</v>
      </c>
      <c r="B94" t="s">
        <v>227</v>
      </c>
      <c r="C94">
        <v>1057</v>
      </c>
      <c r="D94" t="s">
        <v>245</v>
      </c>
      <c r="E94" s="53">
        <v>42250</v>
      </c>
      <c r="F94" t="s">
        <v>228</v>
      </c>
    </row>
    <row r="95" spans="1:6" x14ac:dyDescent="0.3">
      <c r="A95" t="s">
        <v>231</v>
      </c>
      <c r="B95" t="s">
        <v>289</v>
      </c>
      <c r="C95">
        <v>1059</v>
      </c>
      <c r="D95" t="s">
        <v>225</v>
      </c>
      <c r="E95" s="53">
        <v>42140</v>
      </c>
      <c r="F95" t="s">
        <v>216</v>
      </c>
    </row>
    <row r="96" spans="1:6" x14ac:dyDescent="0.3">
      <c r="A96" t="s">
        <v>246</v>
      </c>
      <c r="B96" t="s">
        <v>262</v>
      </c>
      <c r="C96">
        <v>1064</v>
      </c>
      <c r="D96" t="s">
        <v>225</v>
      </c>
      <c r="E96" s="53">
        <v>41752</v>
      </c>
      <c r="F96" t="s">
        <v>216</v>
      </c>
    </row>
    <row r="97" spans="1:6" x14ac:dyDescent="0.3">
      <c r="A97" t="s">
        <v>209</v>
      </c>
      <c r="B97" t="s">
        <v>219</v>
      </c>
      <c r="C97">
        <v>1065</v>
      </c>
      <c r="D97" t="s">
        <v>245</v>
      </c>
      <c r="E97" s="53">
        <v>42244</v>
      </c>
      <c r="F97" t="s">
        <v>228</v>
      </c>
    </row>
    <row r="98" spans="1:6" x14ac:dyDescent="0.3">
      <c r="A98" t="s">
        <v>223</v>
      </c>
      <c r="B98" t="s">
        <v>263</v>
      </c>
      <c r="C98">
        <v>1078</v>
      </c>
      <c r="D98" t="s">
        <v>225</v>
      </c>
      <c r="E98" s="53">
        <v>41988</v>
      </c>
      <c r="F98" t="s">
        <v>221</v>
      </c>
    </row>
    <row r="99" spans="1:6" x14ac:dyDescent="0.3">
      <c r="A99" t="s">
        <v>223</v>
      </c>
      <c r="B99" t="s">
        <v>227</v>
      </c>
      <c r="C99">
        <v>1078</v>
      </c>
      <c r="D99" t="s">
        <v>215</v>
      </c>
      <c r="E99" s="53">
        <v>42291</v>
      </c>
      <c r="F99" t="s">
        <v>221</v>
      </c>
    </row>
    <row r="100" spans="1:6" x14ac:dyDescent="0.3">
      <c r="A100" t="s">
        <v>233</v>
      </c>
      <c r="B100" t="s">
        <v>250</v>
      </c>
      <c r="C100">
        <v>1079</v>
      </c>
      <c r="D100" t="s">
        <v>222</v>
      </c>
      <c r="E100" s="53">
        <v>42050</v>
      </c>
      <c r="F100" t="s">
        <v>212</v>
      </c>
    </row>
    <row r="101" spans="1:6" x14ac:dyDescent="0.3">
      <c r="A101" t="s">
        <v>239</v>
      </c>
      <c r="B101" t="s">
        <v>269</v>
      </c>
      <c r="C101">
        <v>1079</v>
      </c>
      <c r="D101" t="s">
        <v>225</v>
      </c>
      <c r="E101" s="53">
        <v>41690</v>
      </c>
      <c r="F101" t="s">
        <v>212</v>
      </c>
    </row>
    <row r="102" spans="1:6" x14ac:dyDescent="0.3">
      <c r="A102" t="s">
        <v>233</v>
      </c>
      <c r="B102" t="s">
        <v>248</v>
      </c>
      <c r="C102">
        <v>1081</v>
      </c>
      <c r="D102" t="s">
        <v>218</v>
      </c>
      <c r="E102" s="53">
        <v>42022</v>
      </c>
      <c r="F102" t="s">
        <v>212</v>
      </c>
    </row>
    <row r="103" spans="1:6" x14ac:dyDescent="0.3">
      <c r="A103" t="s">
        <v>209</v>
      </c>
      <c r="B103" t="s">
        <v>242</v>
      </c>
      <c r="C103">
        <v>1081</v>
      </c>
      <c r="D103" t="s">
        <v>254</v>
      </c>
      <c r="E103" s="53">
        <v>42187</v>
      </c>
      <c r="F103" t="s">
        <v>228</v>
      </c>
    </row>
    <row r="104" spans="1:6" x14ac:dyDescent="0.3">
      <c r="A104" t="s">
        <v>246</v>
      </c>
      <c r="B104" t="s">
        <v>262</v>
      </c>
      <c r="C104">
        <v>1083</v>
      </c>
      <c r="D104" t="s">
        <v>218</v>
      </c>
      <c r="E104" s="53">
        <v>42014</v>
      </c>
      <c r="F104" t="s">
        <v>212</v>
      </c>
    </row>
    <row r="105" spans="1:6" x14ac:dyDescent="0.3">
      <c r="A105" t="s">
        <v>233</v>
      </c>
      <c r="B105" t="s">
        <v>265</v>
      </c>
      <c r="C105">
        <v>1093</v>
      </c>
      <c r="D105" t="s">
        <v>220</v>
      </c>
      <c r="E105" s="53">
        <v>41795</v>
      </c>
      <c r="F105" t="s">
        <v>216</v>
      </c>
    </row>
    <row r="106" spans="1:6" x14ac:dyDescent="0.3">
      <c r="A106" t="s">
        <v>223</v>
      </c>
      <c r="B106" t="s">
        <v>290</v>
      </c>
      <c r="C106">
        <v>1095</v>
      </c>
      <c r="D106" t="s">
        <v>218</v>
      </c>
      <c r="E106" s="53">
        <v>42168</v>
      </c>
      <c r="F106" t="s">
        <v>216</v>
      </c>
    </row>
    <row r="107" spans="1:6" x14ac:dyDescent="0.3">
      <c r="A107" t="s">
        <v>236</v>
      </c>
      <c r="B107" t="s">
        <v>291</v>
      </c>
      <c r="C107">
        <v>1104</v>
      </c>
      <c r="D107" t="s">
        <v>215</v>
      </c>
      <c r="E107" s="53">
        <v>41963</v>
      </c>
      <c r="F107" t="s">
        <v>221</v>
      </c>
    </row>
    <row r="108" spans="1:6" x14ac:dyDescent="0.3">
      <c r="A108" t="s">
        <v>236</v>
      </c>
      <c r="B108" t="s">
        <v>292</v>
      </c>
      <c r="C108">
        <v>1111</v>
      </c>
      <c r="D108" t="s">
        <v>220</v>
      </c>
      <c r="E108" s="53">
        <v>42158</v>
      </c>
      <c r="F108" t="s">
        <v>216</v>
      </c>
    </row>
    <row r="109" spans="1:6" x14ac:dyDescent="0.3">
      <c r="A109" t="s">
        <v>223</v>
      </c>
      <c r="B109" t="s">
        <v>249</v>
      </c>
      <c r="C109">
        <v>1114</v>
      </c>
      <c r="D109" t="s">
        <v>218</v>
      </c>
      <c r="E109" s="53">
        <v>42029</v>
      </c>
      <c r="F109" t="s">
        <v>212</v>
      </c>
    </row>
    <row r="110" spans="1:6" x14ac:dyDescent="0.3">
      <c r="A110" t="s">
        <v>239</v>
      </c>
      <c r="B110" t="s">
        <v>272</v>
      </c>
      <c r="C110">
        <v>1115</v>
      </c>
      <c r="D110" t="s">
        <v>222</v>
      </c>
      <c r="E110" s="53">
        <v>41768</v>
      </c>
      <c r="F110" t="s">
        <v>216</v>
      </c>
    </row>
    <row r="111" spans="1:6" x14ac:dyDescent="0.3">
      <c r="A111" t="s">
        <v>223</v>
      </c>
      <c r="B111" t="s">
        <v>293</v>
      </c>
      <c r="C111">
        <v>1115</v>
      </c>
      <c r="D111" t="s">
        <v>215</v>
      </c>
      <c r="E111" s="53">
        <v>42292</v>
      </c>
      <c r="F111" t="s">
        <v>221</v>
      </c>
    </row>
    <row r="112" spans="1:6" x14ac:dyDescent="0.3">
      <c r="A112" t="s">
        <v>223</v>
      </c>
      <c r="B112" t="s">
        <v>241</v>
      </c>
      <c r="C112">
        <v>1118</v>
      </c>
      <c r="D112" t="s">
        <v>220</v>
      </c>
      <c r="E112" s="53">
        <v>41839</v>
      </c>
      <c r="F112" t="s">
        <v>228</v>
      </c>
    </row>
    <row r="113" spans="1:6" x14ac:dyDescent="0.3">
      <c r="A113" t="s">
        <v>209</v>
      </c>
      <c r="B113" t="s">
        <v>264</v>
      </c>
      <c r="C113">
        <v>1122</v>
      </c>
      <c r="D113" t="s">
        <v>215</v>
      </c>
      <c r="E113" s="53">
        <v>41691</v>
      </c>
      <c r="F113" t="s">
        <v>212</v>
      </c>
    </row>
    <row r="114" spans="1:6" x14ac:dyDescent="0.3">
      <c r="A114" t="s">
        <v>223</v>
      </c>
      <c r="B114" t="s">
        <v>259</v>
      </c>
      <c r="C114">
        <v>1124</v>
      </c>
      <c r="D114" t="s">
        <v>245</v>
      </c>
      <c r="E114" s="53">
        <v>41687</v>
      </c>
      <c r="F114" t="s">
        <v>212</v>
      </c>
    </row>
    <row r="115" spans="1:6" x14ac:dyDescent="0.3">
      <c r="A115" t="s">
        <v>213</v>
      </c>
      <c r="B115" t="s">
        <v>277</v>
      </c>
      <c r="C115">
        <v>1128</v>
      </c>
      <c r="D115" t="s">
        <v>245</v>
      </c>
      <c r="E115" s="53">
        <v>41742</v>
      </c>
      <c r="F115" t="s">
        <v>216</v>
      </c>
    </row>
    <row r="116" spans="1:6" x14ac:dyDescent="0.3">
      <c r="A116" t="s">
        <v>223</v>
      </c>
      <c r="B116" t="s">
        <v>241</v>
      </c>
      <c r="C116">
        <v>1130</v>
      </c>
      <c r="D116" t="s">
        <v>211</v>
      </c>
      <c r="E116" s="53">
        <v>42065</v>
      </c>
      <c r="F116" t="s">
        <v>212</v>
      </c>
    </row>
    <row r="117" spans="1:6" x14ac:dyDescent="0.3">
      <c r="A117" t="s">
        <v>209</v>
      </c>
      <c r="B117" t="s">
        <v>261</v>
      </c>
      <c r="C117">
        <v>1131</v>
      </c>
      <c r="D117" t="s">
        <v>215</v>
      </c>
      <c r="E117" s="53">
        <v>42221</v>
      </c>
      <c r="F117" t="s">
        <v>228</v>
      </c>
    </row>
    <row r="118" spans="1:6" x14ac:dyDescent="0.3">
      <c r="A118" t="s">
        <v>223</v>
      </c>
      <c r="B118" t="s">
        <v>241</v>
      </c>
      <c r="C118">
        <v>1132</v>
      </c>
      <c r="D118" t="s">
        <v>215</v>
      </c>
      <c r="E118" s="53">
        <v>42314</v>
      </c>
      <c r="F118" t="s">
        <v>221</v>
      </c>
    </row>
    <row r="119" spans="1:6" x14ac:dyDescent="0.3">
      <c r="A119" t="s">
        <v>231</v>
      </c>
      <c r="B119" t="s">
        <v>232</v>
      </c>
      <c r="C119">
        <v>1139</v>
      </c>
      <c r="D119" t="s">
        <v>225</v>
      </c>
      <c r="E119" s="53">
        <v>42053</v>
      </c>
      <c r="F119" t="s">
        <v>212</v>
      </c>
    </row>
    <row r="120" spans="1:6" x14ac:dyDescent="0.3">
      <c r="A120" t="s">
        <v>223</v>
      </c>
      <c r="B120" t="s">
        <v>280</v>
      </c>
      <c r="C120">
        <v>1141</v>
      </c>
      <c r="D120" t="s">
        <v>230</v>
      </c>
      <c r="E120" s="53">
        <v>41868</v>
      </c>
      <c r="F120" t="s">
        <v>228</v>
      </c>
    </row>
    <row r="121" spans="1:6" x14ac:dyDescent="0.3">
      <c r="A121" t="s">
        <v>233</v>
      </c>
      <c r="B121" t="s">
        <v>260</v>
      </c>
      <c r="C121">
        <v>1149</v>
      </c>
      <c r="D121" t="s">
        <v>218</v>
      </c>
      <c r="E121" s="53">
        <v>41980</v>
      </c>
      <c r="F121" t="s">
        <v>221</v>
      </c>
    </row>
    <row r="122" spans="1:6" x14ac:dyDescent="0.3">
      <c r="A122" t="s">
        <v>233</v>
      </c>
      <c r="B122" t="s">
        <v>250</v>
      </c>
      <c r="C122">
        <v>1163</v>
      </c>
      <c r="D122" t="s">
        <v>235</v>
      </c>
      <c r="E122" s="53">
        <v>42309</v>
      </c>
      <c r="F122" t="s">
        <v>221</v>
      </c>
    </row>
    <row r="123" spans="1:6" x14ac:dyDescent="0.3">
      <c r="A123" t="s">
        <v>236</v>
      </c>
      <c r="B123" t="s">
        <v>294</v>
      </c>
      <c r="C123">
        <v>1164</v>
      </c>
      <c r="D123" t="s">
        <v>230</v>
      </c>
      <c r="E123" s="53">
        <v>41686</v>
      </c>
      <c r="F123" t="s">
        <v>212</v>
      </c>
    </row>
    <row r="124" spans="1:6" x14ac:dyDescent="0.3">
      <c r="A124" t="s">
        <v>236</v>
      </c>
      <c r="B124" t="s">
        <v>291</v>
      </c>
      <c r="C124">
        <v>1168</v>
      </c>
      <c r="D124" t="s">
        <v>215</v>
      </c>
      <c r="E124" s="53">
        <v>42085</v>
      </c>
      <c r="F124" t="s">
        <v>212</v>
      </c>
    </row>
    <row r="125" spans="1:6" x14ac:dyDescent="0.3">
      <c r="A125" t="s">
        <v>223</v>
      </c>
      <c r="B125" t="s">
        <v>282</v>
      </c>
      <c r="C125">
        <v>1168</v>
      </c>
      <c r="D125" t="s">
        <v>254</v>
      </c>
      <c r="E125" s="53">
        <v>41806</v>
      </c>
      <c r="F125" t="s">
        <v>216</v>
      </c>
    </row>
    <row r="126" spans="1:6" x14ac:dyDescent="0.3">
      <c r="A126" t="s">
        <v>233</v>
      </c>
      <c r="B126" t="s">
        <v>252</v>
      </c>
      <c r="C126">
        <v>1172</v>
      </c>
      <c r="D126" t="s">
        <v>235</v>
      </c>
      <c r="E126" s="53">
        <v>41754</v>
      </c>
      <c r="F126" t="s">
        <v>216</v>
      </c>
    </row>
    <row r="127" spans="1:6" x14ac:dyDescent="0.3">
      <c r="A127" t="s">
        <v>213</v>
      </c>
      <c r="B127" t="s">
        <v>288</v>
      </c>
      <c r="C127">
        <v>1174</v>
      </c>
      <c r="D127" t="s">
        <v>211</v>
      </c>
      <c r="E127" s="53">
        <v>41821</v>
      </c>
      <c r="F127" t="s">
        <v>228</v>
      </c>
    </row>
    <row r="128" spans="1:6" x14ac:dyDescent="0.3">
      <c r="A128" t="s">
        <v>246</v>
      </c>
      <c r="B128" t="s">
        <v>262</v>
      </c>
      <c r="C128">
        <v>1194</v>
      </c>
      <c r="D128" t="s">
        <v>222</v>
      </c>
      <c r="E128" s="53">
        <v>41718</v>
      </c>
      <c r="F128" t="s">
        <v>212</v>
      </c>
    </row>
    <row r="129" spans="1:6" x14ac:dyDescent="0.3">
      <c r="A129" t="s">
        <v>223</v>
      </c>
      <c r="B129" t="s">
        <v>280</v>
      </c>
      <c r="C129">
        <v>1207</v>
      </c>
      <c r="D129" t="s">
        <v>225</v>
      </c>
      <c r="E129" s="53">
        <v>42208</v>
      </c>
      <c r="F129" t="s">
        <v>228</v>
      </c>
    </row>
    <row r="130" spans="1:6" x14ac:dyDescent="0.3">
      <c r="A130" t="s">
        <v>209</v>
      </c>
      <c r="B130" t="s">
        <v>210</v>
      </c>
      <c r="C130">
        <v>1212</v>
      </c>
      <c r="D130" t="s">
        <v>230</v>
      </c>
      <c r="E130" s="53">
        <v>42000</v>
      </c>
      <c r="F130" t="s">
        <v>221</v>
      </c>
    </row>
    <row r="131" spans="1:6" x14ac:dyDescent="0.3">
      <c r="A131" t="s">
        <v>231</v>
      </c>
      <c r="B131" t="s">
        <v>244</v>
      </c>
      <c r="C131">
        <v>1213</v>
      </c>
      <c r="D131" t="s">
        <v>230</v>
      </c>
      <c r="E131" s="53">
        <v>41898</v>
      </c>
      <c r="F131" t="s">
        <v>228</v>
      </c>
    </row>
    <row r="132" spans="1:6" x14ac:dyDescent="0.3">
      <c r="A132" t="s">
        <v>233</v>
      </c>
      <c r="B132" t="s">
        <v>260</v>
      </c>
      <c r="C132">
        <v>1224</v>
      </c>
      <c r="D132" t="s">
        <v>222</v>
      </c>
      <c r="E132" s="53">
        <v>42119</v>
      </c>
      <c r="F132" t="s">
        <v>216</v>
      </c>
    </row>
    <row r="133" spans="1:6" x14ac:dyDescent="0.3">
      <c r="A133" t="s">
        <v>223</v>
      </c>
      <c r="B133" t="s">
        <v>295</v>
      </c>
      <c r="C133">
        <v>1224</v>
      </c>
      <c r="D133" t="s">
        <v>235</v>
      </c>
      <c r="E133" s="53">
        <v>42128</v>
      </c>
      <c r="F133" t="s">
        <v>216</v>
      </c>
    </row>
    <row r="134" spans="1:6" x14ac:dyDescent="0.3">
      <c r="A134" t="s">
        <v>239</v>
      </c>
      <c r="B134" t="s">
        <v>240</v>
      </c>
      <c r="C134">
        <v>1225</v>
      </c>
      <c r="D134" t="s">
        <v>225</v>
      </c>
      <c r="E134" s="53">
        <v>42079</v>
      </c>
      <c r="F134" t="s">
        <v>212</v>
      </c>
    </row>
    <row r="135" spans="1:6" x14ac:dyDescent="0.3">
      <c r="A135" t="s">
        <v>213</v>
      </c>
      <c r="B135" t="s">
        <v>277</v>
      </c>
      <c r="C135">
        <v>1227</v>
      </c>
      <c r="D135" t="s">
        <v>254</v>
      </c>
      <c r="E135" s="53">
        <v>42051</v>
      </c>
      <c r="F135" t="s">
        <v>212</v>
      </c>
    </row>
    <row r="136" spans="1:6" x14ac:dyDescent="0.3">
      <c r="A136" t="s">
        <v>213</v>
      </c>
      <c r="B136" t="s">
        <v>268</v>
      </c>
      <c r="C136">
        <v>1237</v>
      </c>
      <c r="D136" t="s">
        <v>235</v>
      </c>
      <c r="E136" s="53">
        <v>41737</v>
      </c>
      <c r="F136" t="s">
        <v>216</v>
      </c>
    </row>
    <row r="137" spans="1:6" x14ac:dyDescent="0.3">
      <c r="A137" t="s">
        <v>236</v>
      </c>
      <c r="B137" t="s">
        <v>296</v>
      </c>
      <c r="C137">
        <v>1243</v>
      </c>
      <c r="D137" t="s">
        <v>218</v>
      </c>
      <c r="E137" s="53">
        <v>41764</v>
      </c>
      <c r="F137" t="s">
        <v>216</v>
      </c>
    </row>
    <row r="138" spans="1:6" x14ac:dyDescent="0.3">
      <c r="A138" t="s">
        <v>213</v>
      </c>
      <c r="B138" t="s">
        <v>256</v>
      </c>
      <c r="C138">
        <v>1244</v>
      </c>
      <c r="D138" t="s">
        <v>245</v>
      </c>
      <c r="E138" s="53">
        <v>42122</v>
      </c>
      <c r="F138" t="s">
        <v>216</v>
      </c>
    </row>
    <row r="139" spans="1:6" x14ac:dyDescent="0.3">
      <c r="A139" t="s">
        <v>236</v>
      </c>
      <c r="B139" t="s">
        <v>292</v>
      </c>
      <c r="C139">
        <v>1250</v>
      </c>
      <c r="D139" t="s">
        <v>211</v>
      </c>
      <c r="E139" s="53">
        <v>41696</v>
      </c>
      <c r="F139" t="s">
        <v>212</v>
      </c>
    </row>
    <row r="140" spans="1:6" x14ac:dyDescent="0.3">
      <c r="A140" t="s">
        <v>213</v>
      </c>
      <c r="B140" t="s">
        <v>268</v>
      </c>
      <c r="C140">
        <v>1252</v>
      </c>
      <c r="D140" t="s">
        <v>254</v>
      </c>
      <c r="E140" s="53">
        <v>42186</v>
      </c>
      <c r="F140" t="s">
        <v>228</v>
      </c>
    </row>
    <row r="141" spans="1:6" x14ac:dyDescent="0.3">
      <c r="A141" t="s">
        <v>209</v>
      </c>
      <c r="B141" t="s">
        <v>297</v>
      </c>
      <c r="C141">
        <v>1253</v>
      </c>
      <c r="D141" t="s">
        <v>254</v>
      </c>
      <c r="E141" s="53">
        <v>42078</v>
      </c>
      <c r="F141" t="s">
        <v>212</v>
      </c>
    </row>
    <row r="142" spans="1:6" x14ac:dyDescent="0.3">
      <c r="A142" t="s">
        <v>213</v>
      </c>
      <c r="B142" t="s">
        <v>288</v>
      </c>
      <c r="C142">
        <v>1256</v>
      </c>
      <c r="D142" t="s">
        <v>215</v>
      </c>
      <c r="E142" s="53">
        <v>42134</v>
      </c>
      <c r="F142" t="s">
        <v>216</v>
      </c>
    </row>
    <row r="143" spans="1:6" x14ac:dyDescent="0.3">
      <c r="A143" t="s">
        <v>246</v>
      </c>
      <c r="B143" t="s">
        <v>247</v>
      </c>
      <c r="C143">
        <v>1268</v>
      </c>
      <c r="D143" t="s">
        <v>230</v>
      </c>
      <c r="E143" s="53">
        <v>42102</v>
      </c>
      <c r="F143" t="s">
        <v>216</v>
      </c>
    </row>
    <row r="144" spans="1:6" x14ac:dyDescent="0.3">
      <c r="A144" t="s">
        <v>236</v>
      </c>
      <c r="B144" t="s">
        <v>253</v>
      </c>
      <c r="C144">
        <v>1273</v>
      </c>
      <c r="D144" t="s">
        <v>254</v>
      </c>
      <c r="E144" s="53">
        <v>41770</v>
      </c>
      <c r="F144" t="s">
        <v>216</v>
      </c>
    </row>
    <row r="145" spans="1:6" x14ac:dyDescent="0.3">
      <c r="A145" t="s">
        <v>231</v>
      </c>
      <c r="B145" t="s">
        <v>289</v>
      </c>
      <c r="C145">
        <v>1275</v>
      </c>
      <c r="D145" t="s">
        <v>211</v>
      </c>
      <c r="E145" s="53">
        <v>41975</v>
      </c>
      <c r="F145" t="s">
        <v>221</v>
      </c>
    </row>
    <row r="146" spans="1:6" x14ac:dyDescent="0.3">
      <c r="A146" t="s">
        <v>236</v>
      </c>
      <c r="B146" t="s">
        <v>296</v>
      </c>
      <c r="C146">
        <v>1279</v>
      </c>
      <c r="D146" t="s">
        <v>245</v>
      </c>
      <c r="E146" s="53">
        <v>42133</v>
      </c>
      <c r="F146" t="s">
        <v>216</v>
      </c>
    </row>
    <row r="147" spans="1:6" x14ac:dyDescent="0.3">
      <c r="A147" t="s">
        <v>213</v>
      </c>
      <c r="B147" t="s">
        <v>214</v>
      </c>
      <c r="C147">
        <v>1279</v>
      </c>
      <c r="D147" t="s">
        <v>235</v>
      </c>
      <c r="E147" s="53">
        <v>41871</v>
      </c>
      <c r="F147" t="s">
        <v>228</v>
      </c>
    </row>
    <row r="148" spans="1:6" x14ac:dyDescent="0.3">
      <c r="A148" t="s">
        <v>233</v>
      </c>
      <c r="B148" t="s">
        <v>258</v>
      </c>
      <c r="C148">
        <v>1282</v>
      </c>
      <c r="D148" t="s">
        <v>218</v>
      </c>
      <c r="E148" s="53">
        <v>42234</v>
      </c>
      <c r="F148" t="s">
        <v>228</v>
      </c>
    </row>
    <row r="149" spans="1:6" x14ac:dyDescent="0.3">
      <c r="A149" t="s">
        <v>213</v>
      </c>
      <c r="B149" t="s">
        <v>229</v>
      </c>
      <c r="C149">
        <v>1285</v>
      </c>
      <c r="D149" t="s">
        <v>245</v>
      </c>
      <c r="E149" s="53">
        <v>41675</v>
      </c>
      <c r="F149" t="s">
        <v>212</v>
      </c>
    </row>
    <row r="150" spans="1:6" x14ac:dyDescent="0.3">
      <c r="A150" t="s">
        <v>233</v>
      </c>
      <c r="B150" t="s">
        <v>251</v>
      </c>
      <c r="C150">
        <v>1286</v>
      </c>
      <c r="D150" t="s">
        <v>225</v>
      </c>
      <c r="E150" s="53">
        <v>42070</v>
      </c>
      <c r="F150" t="s">
        <v>212</v>
      </c>
    </row>
    <row r="151" spans="1:6" x14ac:dyDescent="0.3">
      <c r="A151" t="s">
        <v>223</v>
      </c>
      <c r="B151" t="s">
        <v>273</v>
      </c>
      <c r="C151">
        <v>1290</v>
      </c>
      <c r="D151" t="s">
        <v>245</v>
      </c>
      <c r="E151" s="53">
        <v>42008</v>
      </c>
      <c r="F151" t="s">
        <v>212</v>
      </c>
    </row>
    <row r="152" spans="1:6" x14ac:dyDescent="0.3">
      <c r="A152" t="s">
        <v>231</v>
      </c>
      <c r="B152" t="s">
        <v>257</v>
      </c>
      <c r="C152">
        <v>1290</v>
      </c>
      <c r="D152" t="s">
        <v>245</v>
      </c>
      <c r="E152" s="53">
        <v>42243</v>
      </c>
      <c r="F152" t="s">
        <v>228</v>
      </c>
    </row>
    <row r="153" spans="1:6" x14ac:dyDescent="0.3">
      <c r="A153" t="s">
        <v>209</v>
      </c>
      <c r="B153" t="s">
        <v>242</v>
      </c>
      <c r="C153">
        <v>1293</v>
      </c>
      <c r="D153" t="s">
        <v>215</v>
      </c>
      <c r="E153" s="53">
        <v>41766</v>
      </c>
      <c r="F153" t="s">
        <v>216</v>
      </c>
    </row>
    <row r="154" spans="1:6" x14ac:dyDescent="0.3">
      <c r="A154" t="s">
        <v>236</v>
      </c>
      <c r="B154" t="s">
        <v>284</v>
      </c>
      <c r="C154">
        <v>1293</v>
      </c>
      <c r="D154" t="s">
        <v>215</v>
      </c>
      <c r="E154" s="53">
        <v>41800</v>
      </c>
      <c r="F154" t="s">
        <v>216</v>
      </c>
    </row>
    <row r="155" spans="1:6" x14ac:dyDescent="0.3">
      <c r="A155" t="s">
        <v>233</v>
      </c>
      <c r="B155" t="s">
        <v>252</v>
      </c>
      <c r="C155">
        <v>1308</v>
      </c>
      <c r="D155" t="s">
        <v>225</v>
      </c>
      <c r="E155" s="53">
        <v>41700</v>
      </c>
      <c r="F155" t="s">
        <v>212</v>
      </c>
    </row>
    <row r="156" spans="1:6" x14ac:dyDescent="0.3">
      <c r="A156" t="s">
        <v>233</v>
      </c>
      <c r="B156" t="s">
        <v>234</v>
      </c>
      <c r="C156">
        <v>1310</v>
      </c>
      <c r="D156" t="s">
        <v>220</v>
      </c>
      <c r="E156" s="53">
        <v>41955</v>
      </c>
      <c r="F156" t="s">
        <v>221</v>
      </c>
    </row>
    <row r="157" spans="1:6" x14ac:dyDescent="0.3">
      <c r="A157" t="s">
        <v>233</v>
      </c>
      <c r="B157" t="s">
        <v>283</v>
      </c>
      <c r="C157">
        <v>1322</v>
      </c>
      <c r="D157" t="s">
        <v>230</v>
      </c>
      <c r="E157" s="53">
        <v>42087</v>
      </c>
      <c r="F157" t="s">
        <v>212</v>
      </c>
    </row>
    <row r="158" spans="1:6" x14ac:dyDescent="0.3">
      <c r="A158" t="s">
        <v>233</v>
      </c>
      <c r="B158" t="s">
        <v>283</v>
      </c>
      <c r="C158">
        <v>1322</v>
      </c>
      <c r="D158" t="s">
        <v>215</v>
      </c>
      <c r="E158" s="53">
        <v>42240</v>
      </c>
      <c r="F158" t="s">
        <v>228</v>
      </c>
    </row>
    <row r="159" spans="1:6" x14ac:dyDescent="0.3">
      <c r="A159" t="s">
        <v>233</v>
      </c>
      <c r="B159" t="s">
        <v>255</v>
      </c>
      <c r="C159">
        <v>1322</v>
      </c>
      <c r="D159" t="s">
        <v>254</v>
      </c>
      <c r="E159" s="53">
        <v>42351</v>
      </c>
      <c r="F159" t="s">
        <v>221</v>
      </c>
    </row>
    <row r="160" spans="1:6" x14ac:dyDescent="0.3">
      <c r="A160" t="s">
        <v>231</v>
      </c>
      <c r="B160" t="s">
        <v>279</v>
      </c>
      <c r="C160">
        <v>1328</v>
      </c>
      <c r="D160" t="s">
        <v>235</v>
      </c>
      <c r="E160" s="53">
        <v>42029</v>
      </c>
      <c r="F160" t="s">
        <v>212</v>
      </c>
    </row>
    <row r="161" spans="1:6" x14ac:dyDescent="0.3">
      <c r="A161" t="s">
        <v>236</v>
      </c>
      <c r="B161" t="s">
        <v>298</v>
      </c>
      <c r="C161">
        <v>1332</v>
      </c>
      <c r="D161" t="s">
        <v>218</v>
      </c>
      <c r="E161" s="53">
        <v>42143</v>
      </c>
      <c r="F161" t="s">
        <v>216</v>
      </c>
    </row>
    <row r="162" spans="1:6" x14ac:dyDescent="0.3">
      <c r="A162" t="s">
        <v>213</v>
      </c>
      <c r="B162" t="s">
        <v>299</v>
      </c>
      <c r="C162">
        <v>1334</v>
      </c>
      <c r="D162" t="s">
        <v>225</v>
      </c>
      <c r="E162" s="53">
        <v>42269</v>
      </c>
      <c r="F162" t="s">
        <v>228</v>
      </c>
    </row>
    <row r="163" spans="1:6" x14ac:dyDescent="0.3">
      <c r="A163" t="s">
        <v>233</v>
      </c>
      <c r="B163" t="s">
        <v>250</v>
      </c>
      <c r="C163">
        <v>1335</v>
      </c>
      <c r="D163" t="s">
        <v>222</v>
      </c>
      <c r="E163" s="53">
        <v>41842</v>
      </c>
      <c r="F163" t="s">
        <v>228</v>
      </c>
    </row>
    <row r="164" spans="1:6" x14ac:dyDescent="0.3">
      <c r="A164" t="s">
        <v>233</v>
      </c>
      <c r="B164" t="s">
        <v>281</v>
      </c>
      <c r="C164">
        <v>1339</v>
      </c>
      <c r="D164" t="s">
        <v>245</v>
      </c>
      <c r="E164" s="53">
        <v>41824</v>
      </c>
      <c r="F164" t="s">
        <v>228</v>
      </c>
    </row>
    <row r="165" spans="1:6" x14ac:dyDescent="0.3">
      <c r="A165" t="s">
        <v>246</v>
      </c>
      <c r="B165" t="s">
        <v>247</v>
      </c>
      <c r="C165">
        <v>1341</v>
      </c>
      <c r="D165" t="s">
        <v>220</v>
      </c>
      <c r="E165" s="53">
        <v>41995</v>
      </c>
      <c r="F165" t="s">
        <v>221</v>
      </c>
    </row>
    <row r="166" spans="1:6" x14ac:dyDescent="0.3">
      <c r="A166" t="s">
        <v>223</v>
      </c>
      <c r="B166" t="s">
        <v>295</v>
      </c>
      <c r="C166">
        <v>1342</v>
      </c>
      <c r="D166" t="s">
        <v>235</v>
      </c>
      <c r="E166" s="53">
        <v>41784</v>
      </c>
      <c r="F166" t="s">
        <v>216</v>
      </c>
    </row>
    <row r="167" spans="1:6" x14ac:dyDescent="0.3">
      <c r="A167" t="s">
        <v>239</v>
      </c>
      <c r="B167" t="s">
        <v>272</v>
      </c>
      <c r="C167">
        <v>1342</v>
      </c>
      <c r="D167" t="s">
        <v>215</v>
      </c>
      <c r="E167" s="53">
        <v>41777</v>
      </c>
      <c r="F167" t="s">
        <v>216</v>
      </c>
    </row>
    <row r="168" spans="1:6" x14ac:dyDescent="0.3">
      <c r="A168" t="s">
        <v>209</v>
      </c>
      <c r="B168" t="s">
        <v>264</v>
      </c>
      <c r="C168">
        <v>1344</v>
      </c>
      <c r="D168" t="s">
        <v>215</v>
      </c>
      <c r="E168" s="53">
        <v>42169</v>
      </c>
      <c r="F168" t="s">
        <v>216</v>
      </c>
    </row>
    <row r="169" spans="1:6" x14ac:dyDescent="0.3">
      <c r="A169" t="s">
        <v>231</v>
      </c>
      <c r="B169" t="s">
        <v>289</v>
      </c>
      <c r="C169">
        <v>1349</v>
      </c>
      <c r="D169" t="s">
        <v>220</v>
      </c>
      <c r="E169" s="53">
        <v>42020</v>
      </c>
      <c r="F169" t="s">
        <v>212</v>
      </c>
    </row>
    <row r="170" spans="1:6" x14ac:dyDescent="0.3">
      <c r="A170" t="s">
        <v>246</v>
      </c>
      <c r="B170" t="s">
        <v>287</v>
      </c>
      <c r="C170">
        <v>1349</v>
      </c>
      <c r="D170" t="s">
        <v>230</v>
      </c>
      <c r="E170" s="53">
        <v>42102</v>
      </c>
      <c r="F170" t="s">
        <v>216</v>
      </c>
    </row>
    <row r="171" spans="1:6" x14ac:dyDescent="0.3">
      <c r="A171" t="s">
        <v>223</v>
      </c>
      <c r="B171" t="s">
        <v>282</v>
      </c>
      <c r="C171">
        <v>1353</v>
      </c>
      <c r="D171" t="s">
        <v>222</v>
      </c>
      <c r="E171" s="53">
        <v>41994</v>
      </c>
      <c r="F171" t="s">
        <v>221</v>
      </c>
    </row>
    <row r="172" spans="1:6" x14ac:dyDescent="0.3">
      <c r="A172" t="s">
        <v>223</v>
      </c>
      <c r="B172" t="s">
        <v>249</v>
      </c>
      <c r="C172">
        <v>1363</v>
      </c>
      <c r="D172" t="s">
        <v>222</v>
      </c>
      <c r="E172" s="53">
        <v>42017</v>
      </c>
      <c r="F172" t="s">
        <v>212</v>
      </c>
    </row>
    <row r="173" spans="1:6" x14ac:dyDescent="0.3">
      <c r="A173" t="s">
        <v>236</v>
      </c>
      <c r="B173" t="s">
        <v>237</v>
      </c>
      <c r="C173">
        <v>1363</v>
      </c>
      <c r="D173" t="s">
        <v>230</v>
      </c>
      <c r="E173" s="53">
        <v>42160</v>
      </c>
      <c r="F173" t="s">
        <v>216</v>
      </c>
    </row>
    <row r="174" spans="1:6" x14ac:dyDescent="0.3">
      <c r="A174" t="s">
        <v>223</v>
      </c>
      <c r="B174" t="s">
        <v>273</v>
      </c>
      <c r="C174">
        <v>1368</v>
      </c>
      <c r="D174" t="s">
        <v>220</v>
      </c>
      <c r="E174" s="53">
        <v>42163</v>
      </c>
      <c r="F174" t="s">
        <v>216</v>
      </c>
    </row>
    <row r="175" spans="1:6" x14ac:dyDescent="0.3">
      <c r="A175" t="s">
        <v>236</v>
      </c>
      <c r="B175" t="s">
        <v>300</v>
      </c>
      <c r="C175">
        <v>1379</v>
      </c>
      <c r="D175" t="s">
        <v>235</v>
      </c>
      <c r="E175" s="53">
        <v>42000</v>
      </c>
      <c r="F175" t="s">
        <v>221</v>
      </c>
    </row>
    <row r="176" spans="1:6" x14ac:dyDescent="0.3">
      <c r="A176" t="s">
        <v>236</v>
      </c>
      <c r="B176" t="s">
        <v>237</v>
      </c>
      <c r="C176">
        <v>1386</v>
      </c>
      <c r="D176" t="s">
        <v>220</v>
      </c>
      <c r="E176" s="53">
        <v>41839</v>
      </c>
      <c r="F176" t="s">
        <v>228</v>
      </c>
    </row>
    <row r="177" spans="1:6" x14ac:dyDescent="0.3">
      <c r="A177" t="s">
        <v>223</v>
      </c>
      <c r="B177" t="s">
        <v>290</v>
      </c>
      <c r="C177">
        <v>1388</v>
      </c>
      <c r="D177" t="s">
        <v>225</v>
      </c>
      <c r="E177" s="53">
        <v>41661</v>
      </c>
      <c r="F177" t="s">
        <v>212</v>
      </c>
    </row>
    <row r="178" spans="1:6" x14ac:dyDescent="0.3">
      <c r="A178" t="s">
        <v>209</v>
      </c>
      <c r="B178" t="s">
        <v>264</v>
      </c>
      <c r="C178">
        <v>1389</v>
      </c>
      <c r="D178" t="s">
        <v>245</v>
      </c>
      <c r="E178" s="53">
        <v>41815</v>
      </c>
      <c r="F178" t="s">
        <v>216</v>
      </c>
    </row>
    <row r="179" spans="1:6" x14ac:dyDescent="0.3">
      <c r="A179" t="s">
        <v>209</v>
      </c>
      <c r="B179" t="s">
        <v>297</v>
      </c>
      <c r="C179">
        <v>1391</v>
      </c>
      <c r="D179" t="s">
        <v>235</v>
      </c>
      <c r="E179" s="53">
        <v>42172</v>
      </c>
      <c r="F179" t="s">
        <v>216</v>
      </c>
    </row>
    <row r="180" spans="1:6" x14ac:dyDescent="0.3">
      <c r="A180" t="s">
        <v>233</v>
      </c>
      <c r="B180" t="s">
        <v>250</v>
      </c>
      <c r="C180">
        <v>1394</v>
      </c>
      <c r="D180" t="s">
        <v>230</v>
      </c>
      <c r="E180" s="53">
        <v>41797</v>
      </c>
      <c r="F180" t="s">
        <v>216</v>
      </c>
    </row>
    <row r="181" spans="1:6" x14ac:dyDescent="0.3">
      <c r="A181" t="s">
        <v>239</v>
      </c>
      <c r="B181" t="s">
        <v>240</v>
      </c>
      <c r="C181">
        <v>1395</v>
      </c>
      <c r="D181" t="s">
        <v>245</v>
      </c>
      <c r="E181" s="53">
        <v>41821</v>
      </c>
      <c r="F181" t="s">
        <v>228</v>
      </c>
    </row>
    <row r="182" spans="1:6" x14ac:dyDescent="0.3">
      <c r="A182" t="s">
        <v>209</v>
      </c>
      <c r="B182" t="s">
        <v>261</v>
      </c>
      <c r="C182">
        <v>1399</v>
      </c>
      <c r="D182" t="s">
        <v>218</v>
      </c>
      <c r="E182" s="53">
        <v>41877</v>
      </c>
      <c r="F182" t="s">
        <v>228</v>
      </c>
    </row>
    <row r="183" spans="1:6" x14ac:dyDescent="0.3">
      <c r="A183" t="s">
        <v>233</v>
      </c>
      <c r="B183" t="s">
        <v>258</v>
      </c>
      <c r="C183">
        <v>1403</v>
      </c>
      <c r="D183" t="s">
        <v>218</v>
      </c>
      <c r="E183" s="53">
        <v>41695</v>
      </c>
      <c r="F183" t="s">
        <v>212</v>
      </c>
    </row>
    <row r="184" spans="1:6" x14ac:dyDescent="0.3">
      <c r="A184" t="s">
        <v>223</v>
      </c>
      <c r="B184" t="s">
        <v>263</v>
      </c>
      <c r="C184">
        <v>1404</v>
      </c>
      <c r="D184" t="s">
        <v>225</v>
      </c>
      <c r="E184" s="53">
        <v>41817</v>
      </c>
      <c r="F184" t="s">
        <v>216</v>
      </c>
    </row>
    <row r="185" spans="1:6" x14ac:dyDescent="0.3">
      <c r="A185" t="s">
        <v>213</v>
      </c>
      <c r="B185" t="s">
        <v>278</v>
      </c>
      <c r="C185">
        <v>1405</v>
      </c>
      <c r="D185" t="s">
        <v>218</v>
      </c>
      <c r="E185" s="53">
        <v>41990</v>
      </c>
      <c r="F185" t="s">
        <v>221</v>
      </c>
    </row>
    <row r="186" spans="1:6" x14ac:dyDescent="0.3">
      <c r="A186" t="s">
        <v>209</v>
      </c>
      <c r="B186" t="s">
        <v>242</v>
      </c>
      <c r="C186">
        <v>1415</v>
      </c>
      <c r="D186" t="s">
        <v>222</v>
      </c>
      <c r="E186" s="53">
        <v>41779</v>
      </c>
      <c r="F186" t="s">
        <v>216</v>
      </c>
    </row>
    <row r="187" spans="1:6" x14ac:dyDescent="0.3">
      <c r="A187" t="s">
        <v>246</v>
      </c>
      <c r="B187" t="s">
        <v>301</v>
      </c>
      <c r="C187">
        <v>1416</v>
      </c>
      <c r="D187" t="s">
        <v>215</v>
      </c>
      <c r="E187" s="53">
        <v>42301</v>
      </c>
      <c r="F187" t="s">
        <v>221</v>
      </c>
    </row>
    <row r="188" spans="1:6" x14ac:dyDescent="0.3">
      <c r="A188" t="s">
        <v>213</v>
      </c>
      <c r="B188" t="s">
        <v>217</v>
      </c>
      <c r="C188">
        <v>1429</v>
      </c>
      <c r="D188" t="s">
        <v>222</v>
      </c>
      <c r="E188" s="53">
        <v>41887</v>
      </c>
      <c r="F188" t="s">
        <v>228</v>
      </c>
    </row>
    <row r="189" spans="1:6" x14ac:dyDescent="0.3">
      <c r="A189" t="s">
        <v>231</v>
      </c>
      <c r="B189" t="s">
        <v>275</v>
      </c>
      <c r="C189">
        <v>1431</v>
      </c>
      <c r="D189" t="s">
        <v>222</v>
      </c>
      <c r="E189" s="53">
        <v>41892</v>
      </c>
      <c r="F189" t="s">
        <v>228</v>
      </c>
    </row>
    <row r="190" spans="1:6" x14ac:dyDescent="0.3">
      <c r="A190" t="s">
        <v>231</v>
      </c>
      <c r="B190" t="s">
        <v>289</v>
      </c>
      <c r="C190">
        <v>1432</v>
      </c>
      <c r="D190" t="s">
        <v>225</v>
      </c>
      <c r="E190" s="53">
        <v>41665</v>
      </c>
      <c r="F190" t="s">
        <v>212</v>
      </c>
    </row>
    <row r="191" spans="1:6" x14ac:dyDescent="0.3">
      <c r="A191" t="s">
        <v>246</v>
      </c>
      <c r="B191" t="s">
        <v>247</v>
      </c>
      <c r="C191">
        <v>1435</v>
      </c>
      <c r="D191" t="s">
        <v>245</v>
      </c>
      <c r="E191" s="53">
        <v>41894</v>
      </c>
      <c r="F191" t="s">
        <v>228</v>
      </c>
    </row>
    <row r="192" spans="1:6" x14ac:dyDescent="0.3">
      <c r="A192" t="s">
        <v>236</v>
      </c>
      <c r="B192" t="s">
        <v>238</v>
      </c>
      <c r="C192">
        <v>1440</v>
      </c>
      <c r="D192" t="s">
        <v>230</v>
      </c>
      <c r="E192" s="53">
        <v>42056</v>
      </c>
      <c r="F192" t="s">
        <v>212</v>
      </c>
    </row>
    <row r="193" spans="1:6" x14ac:dyDescent="0.3">
      <c r="A193" t="s">
        <v>223</v>
      </c>
      <c r="B193" t="s">
        <v>241</v>
      </c>
      <c r="C193">
        <v>1446</v>
      </c>
      <c r="D193" t="s">
        <v>211</v>
      </c>
      <c r="E193" s="53">
        <v>41862</v>
      </c>
      <c r="F193" t="s">
        <v>228</v>
      </c>
    </row>
    <row r="194" spans="1:6" x14ac:dyDescent="0.3">
      <c r="A194" t="s">
        <v>233</v>
      </c>
      <c r="B194" t="s">
        <v>251</v>
      </c>
      <c r="C194">
        <v>1453</v>
      </c>
      <c r="D194" t="s">
        <v>245</v>
      </c>
      <c r="E194" s="53">
        <v>42229</v>
      </c>
      <c r="F194" t="s">
        <v>228</v>
      </c>
    </row>
    <row r="195" spans="1:6" x14ac:dyDescent="0.3">
      <c r="A195" t="s">
        <v>233</v>
      </c>
      <c r="B195" t="s">
        <v>251</v>
      </c>
      <c r="C195">
        <v>1459</v>
      </c>
      <c r="D195" t="s">
        <v>218</v>
      </c>
      <c r="E195" s="53">
        <v>42255</v>
      </c>
      <c r="F195" t="s">
        <v>228</v>
      </c>
    </row>
    <row r="196" spans="1:6" x14ac:dyDescent="0.3">
      <c r="A196" t="s">
        <v>209</v>
      </c>
      <c r="B196" t="s">
        <v>264</v>
      </c>
      <c r="C196">
        <v>1462</v>
      </c>
      <c r="D196" t="s">
        <v>220</v>
      </c>
      <c r="E196" s="53">
        <v>41705</v>
      </c>
      <c r="F196" t="s">
        <v>212</v>
      </c>
    </row>
    <row r="197" spans="1:6" x14ac:dyDescent="0.3">
      <c r="A197" t="s">
        <v>231</v>
      </c>
      <c r="B197" t="s">
        <v>302</v>
      </c>
      <c r="C197">
        <v>1465</v>
      </c>
      <c r="D197" t="s">
        <v>211</v>
      </c>
      <c r="E197" s="53">
        <v>41689</v>
      </c>
      <c r="F197" t="s">
        <v>212</v>
      </c>
    </row>
    <row r="198" spans="1:6" x14ac:dyDescent="0.3">
      <c r="A198" t="s">
        <v>236</v>
      </c>
      <c r="B198" t="s">
        <v>286</v>
      </c>
      <c r="C198">
        <v>1465</v>
      </c>
      <c r="D198" t="s">
        <v>222</v>
      </c>
      <c r="E198" s="53">
        <v>42115</v>
      </c>
      <c r="F198" t="s">
        <v>216</v>
      </c>
    </row>
    <row r="199" spans="1:6" x14ac:dyDescent="0.3">
      <c r="A199" t="s">
        <v>236</v>
      </c>
      <c r="B199" t="s">
        <v>298</v>
      </c>
      <c r="C199">
        <v>1465</v>
      </c>
      <c r="D199" t="s">
        <v>230</v>
      </c>
      <c r="E199" s="53">
        <v>41993</v>
      </c>
      <c r="F199" t="s">
        <v>221</v>
      </c>
    </row>
    <row r="200" spans="1:6" x14ac:dyDescent="0.3">
      <c r="A200" t="s">
        <v>231</v>
      </c>
      <c r="B200" t="s">
        <v>289</v>
      </c>
      <c r="C200">
        <v>1467</v>
      </c>
      <c r="D200" t="s">
        <v>235</v>
      </c>
      <c r="E200" s="53">
        <v>42256</v>
      </c>
      <c r="F200" t="s">
        <v>228</v>
      </c>
    </row>
    <row r="201" spans="1:6" x14ac:dyDescent="0.3">
      <c r="A201" t="s">
        <v>236</v>
      </c>
      <c r="B201" t="s">
        <v>292</v>
      </c>
      <c r="C201">
        <v>1475</v>
      </c>
      <c r="D201" t="s">
        <v>218</v>
      </c>
      <c r="E201" s="53">
        <v>42146</v>
      </c>
      <c r="F201" t="s">
        <v>216</v>
      </c>
    </row>
    <row r="202" spans="1:6" x14ac:dyDescent="0.3">
      <c r="A202" t="s">
        <v>236</v>
      </c>
      <c r="B202" t="s">
        <v>298</v>
      </c>
      <c r="C202">
        <v>1476</v>
      </c>
      <c r="D202" t="s">
        <v>215</v>
      </c>
      <c r="E202" s="53">
        <v>41761</v>
      </c>
      <c r="F202" t="s">
        <v>216</v>
      </c>
    </row>
    <row r="203" spans="1:6" x14ac:dyDescent="0.3">
      <c r="A203" t="s">
        <v>231</v>
      </c>
      <c r="B203" t="s">
        <v>279</v>
      </c>
      <c r="C203">
        <v>1479</v>
      </c>
      <c r="D203" t="s">
        <v>220</v>
      </c>
      <c r="E203" s="53">
        <v>42159</v>
      </c>
      <c r="F203" t="s">
        <v>216</v>
      </c>
    </row>
    <row r="204" spans="1:6" x14ac:dyDescent="0.3">
      <c r="A204" t="s">
        <v>246</v>
      </c>
      <c r="B204" t="s">
        <v>303</v>
      </c>
      <c r="C204">
        <v>1480</v>
      </c>
      <c r="D204" t="s">
        <v>215</v>
      </c>
      <c r="E204" s="53">
        <v>42332</v>
      </c>
      <c r="F204" t="s">
        <v>221</v>
      </c>
    </row>
    <row r="205" spans="1:6" x14ac:dyDescent="0.3">
      <c r="A205" t="s">
        <v>231</v>
      </c>
      <c r="B205" t="s">
        <v>302</v>
      </c>
      <c r="C205">
        <v>1481</v>
      </c>
      <c r="D205" t="s">
        <v>225</v>
      </c>
      <c r="E205" s="53">
        <v>41744</v>
      </c>
      <c r="F205" t="s">
        <v>216</v>
      </c>
    </row>
    <row r="206" spans="1:6" x14ac:dyDescent="0.3">
      <c r="A206" t="s">
        <v>223</v>
      </c>
      <c r="B206" t="s">
        <v>304</v>
      </c>
      <c r="C206">
        <v>1481</v>
      </c>
      <c r="D206" t="s">
        <v>235</v>
      </c>
      <c r="E206" s="53">
        <v>42359</v>
      </c>
      <c r="F206" t="s">
        <v>221</v>
      </c>
    </row>
    <row r="207" spans="1:6" x14ac:dyDescent="0.3">
      <c r="A207" t="s">
        <v>209</v>
      </c>
      <c r="B207" t="s">
        <v>270</v>
      </c>
      <c r="C207">
        <v>1482</v>
      </c>
      <c r="D207" t="s">
        <v>225</v>
      </c>
      <c r="E207" s="53">
        <v>42106</v>
      </c>
      <c r="F207" t="s">
        <v>216</v>
      </c>
    </row>
    <row r="208" spans="1:6" x14ac:dyDescent="0.3">
      <c r="A208" t="s">
        <v>209</v>
      </c>
      <c r="B208" t="s">
        <v>219</v>
      </c>
      <c r="C208">
        <v>1485</v>
      </c>
      <c r="D208" t="s">
        <v>225</v>
      </c>
      <c r="E208" s="53">
        <v>41938</v>
      </c>
      <c r="F208" t="s">
        <v>221</v>
      </c>
    </row>
    <row r="209" spans="1:6" x14ac:dyDescent="0.3">
      <c r="A209" t="s">
        <v>209</v>
      </c>
      <c r="B209" t="s">
        <v>219</v>
      </c>
      <c r="C209">
        <v>1486</v>
      </c>
      <c r="D209" t="s">
        <v>230</v>
      </c>
      <c r="E209" s="53">
        <v>42340</v>
      </c>
      <c r="F209" t="s">
        <v>221</v>
      </c>
    </row>
    <row r="210" spans="1:6" x14ac:dyDescent="0.3">
      <c r="A210" t="s">
        <v>223</v>
      </c>
      <c r="B210" t="s">
        <v>293</v>
      </c>
      <c r="C210">
        <v>1509</v>
      </c>
      <c r="D210" t="s">
        <v>225</v>
      </c>
      <c r="E210" s="53">
        <v>41774</v>
      </c>
      <c r="F210" t="s">
        <v>216</v>
      </c>
    </row>
    <row r="211" spans="1:6" x14ac:dyDescent="0.3">
      <c r="A211" t="s">
        <v>223</v>
      </c>
      <c r="B211" t="s">
        <v>263</v>
      </c>
      <c r="C211">
        <v>1509</v>
      </c>
      <c r="D211" t="s">
        <v>235</v>
      </c>
      <c r="E211" s="53">
        <v>41892</v>
      </c>
      <c r="F211" t="s">
        <v>228</v>
      </c>
    </row>
    <row r="212" spans="1:6" x14ac:dyDescent="0.3">
      <c r="A212" t="s">
        <v>233</v>
      </c>
      <c r="B212" t="s">
        <v>251</v>
      </c>
      <c r="C212">
        <v>1512</v>
      </c>
      <c r="D212" t="s">
        <v>230</v>
      </c>
      <c r="E212" s="53">
        <v>42265</v>
      </c>
      <c r="F212" t="s">
        <v>228</v>
      </c>
    </row>
    <row r="213" spans="1:6" x14ac:dyDescent="0.3">
      <c r="A213" t="s">
        <v>246</v>
      </c>
      <c r="B213" t="s">
        <v>303</v>
      </c>
      <c r="C213">
        <v>1517</v>
      </c>
      <c r="D213" t="s">
        <v>222</v>
      </c>
      <c r="E213" s="53">
        <v>41687</v>
      </c>
      <c r="F213" t="s">
        <v>212</v>
      </c>
    </row>
    <row r="214" spans="1:6" x14ac:dyDescent="0.3">
      <c r="A214" t="s">
        <v>213</v>
      </c>
      <c r="B214" t="s">
        <v>266</v>
      </c>
      <c r="C214">
        <v>1521</v>
      </c>
      <c r="D214" t="s">
        <v>230</v>
      </c>
      <c r="E214" s="53">
        <v>42134</v>
      </c>
      <c r="F214" t="s">
        <v>216</v>
      </c>
    </row>
    <row r="215" spans="1:6" x14ac:dyDescent="0.3">
      <c r="A215" t="s">
        <v>223</v>
      </c>
      <c r="B215" t="s">
        <v>293</v>
      </c>
      <c r="C215">
        <v>1523</v>
      </c>
      <c r="D215" t="s">
        <v>230</v>
      </c>
      <c r="E215" s="53">
        <v>42196</v>
      </c>
      <c r="F215" t="s">
        <v>228</v>
      </c>
    </row>
    <row r="216" spans="1:6" x14ac:dyDescent="0.3">
      <c r="A216" t="s">
        <v>239</v>
      </c>
      <c r="B216" t="s">
        <v>243</v>
      </c>
      <c r="C216">
        <v>1524</v>
      </c>
      <c r="D216" t="s">
        <v>211</v>
      </c>
      <c r="E216" s="53">
        <v>41878</v>
      </c>
      <c r="F216" t="s">
        <v>228</v>
      </c>
    </row>
    <row r="217" spans="1:6" x14ac:dyDescent="0.3">
      <c r="A217" t="s">
        <v>223</v>
      </c>
      <c r="B217" t="s">
        <v>241</v>
      </c>
      <c r="C217">
        <v>1525</v>
      </c>
      <c r="D217" t="s">
        <v>222</v>
      </c>
      <c r="E217" s="53">
        <v>41863</v>
      </c>
      <c r="F217" t="s">
        <v>228</v>
      </c>
    </row>
    <row r="218" spans="1:6" x14ac:dyDescent="0.3">
      <c r="A218" t="s">
        <v>239</v>
      </c>
      <c r="B218" t="s">
        <v>243</v>
      </c>
      <c r="C218">
        <v>1528</v>
      </c>
      <c r="D218" t="s">
        <v>220</v>
      </c>
      <c r="E218" s="53">
        <v>41803</v>
      </c>
      <c r="F218" t="s">
        <v>216</v>
      </c>
    </row>
    <row r="219" spans="1:6" x14ac:dyDescent="0.3">
      <c r="A219" t="s">
        <v>209</v>
      </c>
      <c r="B219" t="s">
        <v>210</v>
      </c>
      <c r="C219">
        <v>1530</v>
      </c>
      <c r="D219" t="s">
        <v>245</v>
      </c>
      <c r="E219" s="53">
        <v>42220</v>
      </c>
      <c r="F219" t="s">
        <v>228</v>
      </c>
    </row>
    <row r="220" spans="1:6" x14ac:dyDescent="0.3">
      <c r="A220" t="s">
        <v>223</v>
      </c>
      <c r="B220" t="s">
        <v>304</v>
      </c>
      <c r="C220">
        <v>1531</v>
      </c>
      <c r="D220" t="s">
        <v>245</v>
      </c>
      <c r="E220" s="53">
        <v>41643</v>
      </c>
      <c r="F220" t="s">
        <v>212</v>
      </c>
    </row>
    <row r="221" spans="1:6" x14ac:dyDescent="0.3">
      <c r="A221" t="s">
        <v>231</v>
      </c>
      <c r="B221" t="s">
        <v>257</v>
      </c>
      <c r="C221">
        <v>1535</v>
      </c>
      <c r="D221" t="s">
        <v>215</v>
      </c>
      <c r="E221" s="53">
        <v>41694</v>
      </c>
      <c r="F221" t="s">
        <v>212</v>
      </c>
    </row>
    <row r="222" spans="1:6" x14ac:dyDescent="0.3">
      <c r="A222" t="s">
        <v>233</v>
      </c>
      <c r="B222" t="s">
        <v>305</v>
      </c>
      <c r="C222">
        <v>1540</v>
      </c>
      <c r="D222" t="s">
        <v>218</v>
      </c>
      <c r="E222" s="53">
        <v>41809</v>
      </c>
      <c r="F222" t="s">
        <v>216</v>
      </c>
    </row>
    <row r="223" spans="1:6" x14ac:dyDescent="0.3">
      <c r="A223" t="s">
        <v>223</v>
      </c>
      <c r="B223" t="s">
        <v>276</v>
      </c>
      <c r="C223">
        <v>1541</v>
      </c>
      <c r="D223" t="s">
        <v>215</v>
      </c>
      <c r="E223" s="53">
        <v>41754</v>
      </c>
      <c r="F223" t="s">
        <v>216</v>
      </c>
    </row>
    <row r="224" spans="1:6" x14ac:dyDescent="0.3">
      <c r="A224" t="s">
        <v>236</v>
      </c>
      <c r="B224" t="s">
        <v>238</v>
      </c>
      <c r="C224">
        <v>1542</v>
      </c>
      <c r="D224" t="s">
        <v>230</v>
      </c>
      <c r="E224" s="53">
        <v>41953</v>
      </c>
      <c r="F224" t="s">
        <v>221</v>
      </c>
    </row>
    <row r="225" spans="1:6" x14ac:dyDescent="0.3">
      <c r="A225" t="s">
        <v>209</v>
      </c>
      <c r="B225" t="s">
        <v>264</v>
      </c>
      <c r="C225">
        <v>1557</v>
      </c>
      <c r="D225" t="s">
        <v>254</v>
      </c>
      <c r="E225" s="53">
        <v>42181</v>
      </c>
      <c r="F225" t="s">
        <v>216</v>
      </c>
    </row>
    <row r="226" spans="1:6" x14ac:dyDescent="0.3">
      <c r="A226" t="s">
        <v>213</v>
      </c>
      <c r="B226" t="s">
        <v>214</v>
      </c>
      <c r="C226">
        <v>1562</v>
      </c>
      <c r="D226" t="s">
        <v>225</v>
      </c>
      <c r="E226" s="53">
        <v>41775</v>
      </c>
      <c r="F226" t="s">
        <v>216</v>
      </c>
    </row>
    <row r="227" spans="1:6" x14ac:dyDescent="0.3">
      <c r="A227" t="s">
        <v>223</v>
      </c>
      <c r="B227" t="s">
        <v>293</v>
      </c>
      <c r="C227">
        <v>1566</v>
      </c>
      <c r="D227" t="s">
        <v>218</v>
      </c>
      <c r="E227" s="53">
        <v>42320</v>
      </c>
      <c r="F227" t="s">
        <v>221</v>
      </c>
    </row>
    <row r="228" spans="1:6" x14ac:dyDescent="0.3">
      <c r="A228" t="s">
        <v>231</v>
      </c>
      <c r="B228" t="s">
        <v>289</v>
      </c>
      <c r="C228">
        <v>1570</v>
      </c>
      <c r="D228" t="s">
        <v>220</v>
      </c>
      <c r="E228" s="53">
        <v>42213</v>
      </c>
      <c r="F228" t="s">
        <v>228</v>
      </c>
    </row>
    <row r="229" spans="1:6" x14ac:dyDescent="0.3">
      <c r="A229" t="s">
        <v>223</v>
      </c>
      <c r="B229" t="s">
        <v>259</v>
      </c>
      <c r="C229">
        <v>1570</v>
      </c>
      <c r="D229" t="s">
        <v>254</v>
      </c>
      <c r="E229" s="53">
        <v>41929</v>
      </c>
      <c r="F229" t="s">
        <v>221</v>
      </c>
    </row>
    <row r="230" spans="1:6" x14ac:dyDescent="0.3">
      <c r="A230" t="s">
        <v>233</v>
      </c>
      <c r="B230" t="s">
        <v>305</v>
      </c>
      <c r="C230">
        <v>1572</v>
      </c>
      <c r="D230" t="s">
        <v>230</v>
      </c>
      <c r="E230" s="53">
        <v>41988</v>
      </c>
      <c r="F230" t="s">
        <v>221</v>
      </c>
    </row>
    <row r="231" spans="1:6" x14ac:dyDescent="0.3">
      <c r="A231" t="s">
        <v>209</v>
      </c>
      <c r="B231" t="s">
        <v>270</v>
      </c>
      <c r="C231">
        <v>1573</v>
      </c>
      <c r="D231" t="s">
        <v>211</v>
      </c>
      <c r="E231" s="53">
        <v>42182</v>
      </c>
      <c r="F231" t="s">
        <v>216</v>
      </c>
    </row>
    <row r="232" spans="1:6" x14ac:dyDescent="0.3">
      <c r="A232" t="s">
        <v>231</v>
      </c>
      <c r="B232" t="s">
        <v>306</v>
      </c>
      <c r="C232">
        <v>1579</v>
      </c>
      <c r="D232" t="s">
        <v>225</v>
      </c>
      <c r="E232" s="53">
        <v>42065</v>
      </c>
      <c r="F232" t="s">
        <v>212</v>
      </c>
    </row>
    <row r="233" spans="1:6" x14ac:dyDescent="0.3">
      <c r="A233" t="s">
        <v>236</v>
      </c>
      <c r="B233" t="s">
        <v>238</v>
      </c>
      <c r="C233">
        <v>1590</v>
      </c>
      <c r="D233" t="s">
        <v>220</v>
      </c>
      <c r="E233" s="53">
        <v>41930</v>
      </c>
      <c r="F233" t="s">
        <v>221</v>
      </c>
    </row>
    <row r="234" spans="1:6" x14ac:dyDescent="0.3">
      <c r="A234" t="s">
        <v>236</v>
      </c>
      <c r="B234" t="s">
        <v>292</v>
      </c>
      <c r="C234">
        <v>1592</v>
      </c>
      <c r="D234" t="s">
        <v>230</v>
      </c>
      <c r="E234" s="53">
        <v>41756</v>
      </c>
      <c r="F234" t="s">
        <v>216</v>
      </c>
    </row>
    <row r="235" spans="1:6" x14ac:dyDescent="0.3">
      <c r="A235" t="s">
        <v>233</v>
      </c>
      <c r="B235" t="s">
        <v>255</v>
      </c>
      <c r="C235">
        <v>1596</v>
      </c>
      <c r="D235" t="s">
        <v>245</v>
      </c>
      <c r="E235" s="53">
        <v>41846</v>
      </c>
      <c r="F235" t="s">
        <v>228</v>
      </c>
    </row>
    <row r="236" spans="1:6" x14ac:dyDescent="0.3">
      <c r="A236" t="s">
        <v>233</v>
      </c>
      <c r="B236" t="s">
        <v>255</v>
      </c>
      <c r="C236">
        <v>1597</v>
      </c>
      <c r="D236" t="s">
        <v>220</v>
      </c>
      <c r="E236" s="53">
        <v>42309</v>
      </c>
      <c r="F236" t="s">
        <v>221</v>
      </c>
    </row>
    <row r="237" spans="1:6" x14ac:dyDescent="0.3">
      <c r="A237" t="s">
        <v>246</v>
      </c>
      <c r="B237" t="s">
        <v>274</v>
      </c>
      <c r="C237">
        <v>1598</v>
      </c>
      <c r="D237" t="s">
        <v>215</v>
      </c>
      <c r="E237" s="53">
        <v>41904</v>
      </c>
      <c r="F237" t="s">
        <v>228</v>
      </c>
    </row>
    <row r="238" spans="1:6" x14ac:dyDescent="0.3">
      <c r="A238" t="s">
        <v>223</v>
      </c>
      <c r="B238" t="s">
        <v>273</v>
      </c>
      <c r="C238">
        <v>1599</v>
      </c>
      <c r="D238" t="s">
        <v>218</v>
      </c>
      <c r="E238" s="53">
        <v>42193</v>
      </c>
      <c r="F238" t="s">
        <v>228</v>
      </c>
    </row>
    <row r="239" spans="1:6" x14ac:dyDescent="0.3">
      <c r="A239" t="s">
        <v>231</v>
      </c>
      <c r="B239" t="s">
        <v>232</v>
      </c>
      <c r="C239">
        <v>1607</v>
      </c>
      <c r="D239" t="s">
        <v>235</v>
      </c>
      <c r="E239" s="53">
        <v>41933</v>
      </c>
      <c r="F239" t="s">
        <v>221</v>
      </c>
    </row>
    <row r="240" spans="1:6" x14ac:dyDescent="0.3">
      <c r="A240" t="s">
        <v>246</v>
      </c>
      <c r="B240" t="s">
        <v>303</v>
      </c>
      <c r="C240">
        <v>1617</v>
      </c>
      <c r="D240" t="s">
        <v>215</v>
      </c>
      <c r="E240" s="53">
        <v>42073</v>
      </c>
      <c r="F240" t="s">
        <v>212</v>
      </c>
    </row>
    <row r="241" spans="1:6" x14ac:dyDescent="0.3">
      <c r="A241" t="s">
        <v>231</v>
      </c>
      <c r="B241" t="s">
        <v>279</v>
      </c>
      <c r="C241">
        <v>1617</v>
      </c>
      <c r="D241" t="s">
        <v>254</v>
      </c>
      <c r="E241" s="53">
        <v>42331</v>
      </c>
      <c r="F241" t="s">
        <v>221</v>
      </c>
    </row>
    <row r="242" spans="1:6" x14ac:dyDescent="0.3">
      <c r="A242" t="s">
        <v>236</v>
      </c>
      <c r="B242" t="s">
        <v>298</v>
      </c>
      <c r="C242">
        <v>1619</v>
      </c>
      <c r="D242" t="s">
        <v>235</v>
      </c>
      <c r="E242" s="53">
        <v>41776</v>
      </c>
      <c r="F242" t="s">
        <v>216</v>
      </c>
    </row>
    <row r="243" spans="1:6" x14ac:dyDescent="0.3">
      <c r="A243" t="s">
        <v>231</v>
      </c>
      <c r="B243" t="s">
        <v>279</v>
      </c>
      <c r="C243">
        <v>1621</v>
      </c>
      <c r="D243" t="s">
        <v>230</v>
      </c>
      <c r="E243" s="53">
        <v>41699</v>
      </c>
      <c r="F243" t="s">
        <v>212</v>
      </c>
    </row>
    <row r="244" spans="1:6" x14ac:dyDescent="0.3">
      <c r="A244" t="s">
        <v>209</v>
      </c>
      <c r="B244" t="s">
        <v>307</v>
      </c>
      <c r="C244">
        <v>1631</v>
      </c>
      <c r="D244" t="s">
        <v>225</v>
      </c>
      <c r="E244" s="53">
        <v>41903</v>
      </c>
      <c r="F244" t="s">
        <v>228</v>
      </c>
    </row>
    <row r="245" spans="1:6" x14ac:dyDescent="0.3">
      <c r="A245" t="s">
        <v>233</v>
      </c>
      <c r="B245" t="s">
        <v>283</v>
      </c>
      <c r="C245">
        <v>1640</v>
      </c>
      <c r="D245" t="s">
        <v>235</v>
      </c>
      <c r="E245" s="53">
        <v>42085</v>
      </c>
      <c r="F245" t="s">
        <v>212</v>
      </c>
    </row>
    <row r="246" spans="1:6" x14ac:dyDescent="0.3">
      <c r="A246" t="s">
        <v>209</v>
      </c>
      <c r="B246" t="s">
        <v>210</v>
      </c>
      <c r="C246">
        <v>1646</v>
      </c>
      <c r="D246" t="s">
        <v>254</v>
      </c>
      <c r="E246" s="53">
        <v>42196</v>
      </c>
      <c r="F246" t="s">
        <v>228</v>
      </c>
    </row>
    <row r="247" spans="1:6" x14ac:dyDescent="0.3">
      <c r="A247" t="s">
        <v>233</v>
      </c>
      <c r="B247" t="s">
        <v>258</v>
      </c>
      <c r="C247">
        <v>1647</v>
      </c>
      <c r="D247" t="s">
        <v>245</v>
      </c>
      <c r="E247" s="53">
        <v>41990</v>
      </c>
      <c r="F247" t="s">
        <v>221</v>
      </c>
    </row>
    <row r="248" spans="1:6" x14ac:dyDescent="0.3">
      <c r="A248" t="s">
        <v>223</v>
      </c>
      <c r="B248" t="s">
        <v>295</v>
      </c>
      <c r="C248">
        <v>1649</v>
      </c>
      <c r="D248" t="s">
        <v>230</v>
      </c>
      <c r="E248" s="53">
        <v>41983</v>
      </c>
      <c r="F248" t="s">
        <v>221</v>
      </c>
    </row>
    <row r="249" spans="1:6" x14ac:dyDescent="0.3">
      <c r="A249" t="s">
        <v>239</v>
      </c>
      <c r="B249" t="s">
        <v>267</v>
      </c>
      <c r="C249">
        <v>1651</v>
      </c>
      <c r="D249" t="s">
        <v>245</v>
      </c>
      <c r="E249" s="53">
        <v>41644</v>
      </c>
      <c r="F249" t="s">
        <v>212</v>
      </c>
    </row>
    <row r="250" spans="1:6" x14ac:dyDescent="0.3">
      <c r="A250" t="s">
        <v>213</v>
      </c>
      <c r="B250" t="s">
        <v>288</v>
      </c>
      <c r="C250">
        <v>1654</v>
      </c>
      <c r="D250" t="s">
        <v>220</v>
      </c>
      <c r="E250" s="53">
        <v>42102</v>
      </c>
      <c r="F250" t="s">
        <v>216</v>
      </c>
    </row>
    <row r="251" spans="1:6" x14ac:dyDescent="0.3">
      <c r="A251" t="s">
        <v>233</v>
      </c>
      <c r="B251" t="s">
        <v>251</v>
      </c>
      <c r="C251">
        <v>1656</v>
      </c>
      <c r="D251" t="s">
        <v>230</v>
      </c>
      <c r="E251" s="53">
        <v>41865</v>
      </c>
      <c r="F251" t="s">
        <v>228</v>
      </c>
    </row>
    <row r="252" spans="1:6" x14ac:dyDescent="0.3">
      <c r="A252" t="s">
        <v>223</v>
      </c>
      <c r="B252" t="s">
        <v>227</v>
      </c>
      <c r="C252">
        <v>1657</v>
      </c>
      <c r="D252" t="s">
        <v>218</v>
      </c>
      <c r="E252" s="53">
        <v>42195</v>
      </c>
      <c r="F252" t="s">
        <v>228</v>
      </c>
    </row>
    <row r="253" spans="1:6" x14ac:dyDescent="0.3">
      <c r="A253" t="s">
        <v>236</v>
      </c>
      <c r="B253" t="s">
        <v>291</v>
      </c>
      <c r="C253">
        <v>1661</v>
      </c>
      <c r="D253" t="s">
        <v>245</v>
      </c>
      <c r="E253" s="53">
        <v>42102</v>
      </c>
      <c r="F253" t="s">
        <v>216</v>
      </c>
    </row>
    <row r="254" spans="1:6" x14ac:dyDescent="0.3">
      <c r="A254" t="s">
        <v>233</v>
      </c>
      <c r="B254" t="s">
        <v>258</v>
      </c>
      <c r="C254">
        <v>1670</v>
      </c>
      <c r="D254" t="s">
        <v>225</v>
      </c>
      <c r="E254" s="53">
        <v>42132</v>
      </c>
      <c r="F254" t="s">
        <v>216</v>
      </c>
    </row>
    <row r="255" spans="1:6" x14ac:dyDescent="0.3">
      <c r="A255" t="s">
        <v>233</v>
      </c>
      <c r="B255" t="s">
        <v>248</v>
      </c>
      <c r="C255">
        <v>1674</v>
      </c>
      <c r="D255" t="s">
        <v>218</v>
      </c>
      <c r="E255" s="53">
        <v>41710</v>
      </c>
      <c r="F255" t="s">
        <v>212</v>
      </c>
    </row>
    <row r="256" spans="1:6" x14ac:dyDescent="0.3">
      <c r="A256" t="s">
        <v>223</v>
      </c>
      <c r="B256" t="s">
        <v>273</v>
      </c>
      <c r="C256">
        <v>1677</v>
      </c>
      <c r="D256" t="s">
        <v>218</v>
      </c>
      <c r="E256" s="53">
        <v>42076</v>
      </c>
      <c r="F256" t="s">
        <v>212</v>
      </c>
    </row>
    <row r="257" spans="1:6" x14ac:dyDescent="0.3">
      <c r="A257" t="s">
        <v>233</v>
      </c>
      <c r="B257" t="s">
        <v>283</v>
      </c>
      <c r="C257">
        <v>1682</v>
      </c>
      <c r="D257" t="s">
        <v>211</v>
      </c>
      <c r="E257" s="53">
        <v>42296</v>
      </c>
      <c r="F257" t="s">
        <v>221</v>
      </c>
    </row>
    <row r="258" spans="1:6" x14ac:dyDescent="0.3">
      <c r="A258" t="s">
        <v>223</v>
      </c>
      <c r="B258" t="s">
        <v>241</v>
      </c>
      <c r="C258">
        <v>1684</v>
      </c>
      <c r="D258" t="s">
        <v>220</v>
      </c>
      <c r="E258" s="53">
        <v>42331</v>
      </c>
      <c r="F258" t="s">
        <v>221</v>
      </c>
    </row>
    <row r="259" spans="1:6" x14ac:dyDescent="0.3">
      <c r="A259" t="s">
        <v>236</v>
      </c>
      <c r="B259" t="s">
        <v>253</v>
      </c>
      <c r="C259">
        <v>1690</v>
      </c>
      <c r="D259" t="s">
        <v>225</v>
      </c>
      <c r="E259" s="53">
        <v>42240</v>
      </c>
      <c r="F259" t="s">
        <v>228</v>
      </c>
    </row>
    <row r="260" spans="1:6" x14ac:dyDescent="0.3">
      <c r="A260" t="s">
        <v>223</v>
      </c>
      <c r="B260" t="s">
        <v>249</v>
      </c>
      <c r="C260">
        <v>1696</v>
      </c>
      <c r="D260" t="s">
        <v>218</v>
      </c>
      <c r="E260" s="53">
        <v>41854</v>
      </c>
      <c r="F260" t="s">
        <v>228</v>
      </c>
    </row>
    <row r="261" spans="1:6" x14ac:dyDescent="0.3">
      <c r="A261" t="s">
        <v>231</v>
      </c>
      <c r="B261" t="s">
        <v>244</v>
      </c>
      <c r="C261">
        <v>1697</v>
      </c>
      <c r="D261" t="s">
        <v>222</v>
      </c>
      <c r="E261" s="53">
        <v>41873</v>
      </c>
      <c r="F261" t="s">
        <v>228</v>
      </c>
    </row>
    <row r="262" spans="1:6" x14ac:dyDescent="0.3">
      <c r="A262" t="s">
        <v>209</v>
      </c>
      <c r="B262" t="s">
        <v>226</v>
      </c>
      <c r="C262">
        <v>1698</v>
      </c>
      <c r="D262" t="s">
        <v>235</v>
      </c>
      <c r="E262" s="53">
        <v>41929</v>
      </c>
      <c r="F262" t="s">
        <v>221</v>
      </c>
    </row>
    <row r="263" spans="1:6" x14ac:dyDescent="0.3">
      <c r="A263" t="s">
        <v>233</v>
      </c>
      <c r="B263" t="s">
        <v>281</v>
      </c>
      <c r="C263">
        <v>1701</v>
      </c>
      <c r="D263" t="s">
        <v>245</v>
      </c>
      <c r="E263" s="53">
        <v>42198</v>
      </c>
      <c r="F263" t="s">
        <v>228</v>
      </c>
    </row>
    <row r="264" spans="1:6" x14ac:dyDescent="0.3">
      <c r="A264" t="s">
        <v>233</v>
      </c>
      <c r="B264" t="s">
        <v>285</v>
      </c>
      <c r="C264">
        <v>1706</v>
      </c>
      <c r="D264" t="s">
        <v>220</v>
      </c>
      <c r="E264" s="53">
        <v>42067</v>
      </c>
      <c r="F264" t="s">
        <v>212</v>
      </c>
    </row>
    <row r="265" spans="1:6" x14ac:dyDescent="0.3">
      <c r="A265" t="s">
        <v>246</v>
      </c>
      <c r="B265" t="s">
        <v>274</v>
      </c>
      <c r="C265">
        <v>1707</v>
      </c>
      <c r="D265" t="s">
        <v>211</v>
      </c>
      <c r="E265" s="53">
        <v>42137</v>
      </c>
      <c r="F265" t="s">
        <v>216</v>
      </c>
    </row>
    <row r="266" spans="1:6" x14ac:dyDescent="0.3">
      <c r="A266" t="s">
        <v>213</v>
      </c>
      <c r="B266" t="s">
        <v>229</v>
      </c>
      <c r="C266">
        <v>1710</v>
      </c>
      <c r="D266" t="s">
        <v>235</v>
      </c>
      <c r="E266" s="53">
        <v>41988</v>
      </c>
      <c r="F266" t="s">
        <v>221</v>
      </c>
    </row>
    <row r="267" spans="1:6" x14ac:dyDescent="0.3">
      <c r="A267" t="s">
        <v>236</v>
      </c>
      <c r="B267" t="s">
        <v>308</v>
      </c>
      <c r="C267">
        <v>1711</v>
      </c>
      <c r="D267" t="s">
        <v>218</v>
      </c>
      <c r="E267" s="53">
        <v>41875</v>
      </c>
      <c r="F267" t="s">
        <v>228</v>
      </c>
    </row>
    <row r="268" spans="1:6" x14ac:dyDescent="0.3">
      <c r="A268" t="s">
        <v>223</v>
      </c>
      <c r="B268" t="s">
        <v>282</v>
      </c>
      <c r="C268">
        <v>1717</v>
      </c>
      <c r="D268" t="s">
        <v>230</v>
      </c>
      <c r="E268" s="53">
        <v>41818</v>
      </c>
      <c r="F268" t="s">
        <v>216</v>
      </c>
    </row>
    <row r="269" spans="1:6" x14ac:dyDescent="0.3">
      <c r="A269" t="s">
        <v>209</v>
      </c>
      <c r="B269" t="s">
        <v>307</v>
      </c>
      <c r="C269">
        <v>1726</v>
      </c>
      <c r="D269" t="s">
        <v>254</v>
      </c>
      <c r="E269" s="53">
        <v>41779</v>
      </c>
      <c r="F269" t="s">
        <v>216</v>
      </c>
    </row>
    <row r="270" spans="1:6" x14ac:dyDescent="0.3">
      <c r="A270" t="s">
        <v>233</v>
      </c>
      <c r="B270" t="s">
        <v>252</v>
      </c>
      <c r="C270">
        <v>1731</v>
      </c>
      <c r="D270" t="s">
        <v>222</v>
      </c>
      <c r="E270" s="53">
        <v>41986</v>
      </c>
      <c r="F270" t="s">
        <v>221</v>
      </c>
    </row>
    <row r="271" spans="1:6" x14ac:dyDescent="0.3">
      <c r="A271" t="s">
        <v>223</v>
      </c>
      <c r="B271" t="s">
        <v>295</v>
      </c>
      <c r="C271">
        <v>1732</v>
      </c>
      <c r="D271" t="s">
        <v>220</v>
      </c>
      <c r="E271" s="53">
        <v>41855</v>
      </c>
      <c r="F271" t="s">
        <v>228</v>
      </c>
    </row>
    <row r="272" spans="1:6" x14ac:dyDescent="0.3">
      <c r="A272" t="s">
        <v>233</v>
      </c>
      <c r="B272" t="s">
        <v>265</v>
      </c>
      <c r="C272">
        <v>1740</v>
      </c>
      <c r="D272" t="s">
        <v>245</v>
      </c>
      <c r="E272" s="53">
        <v>42137</v>
      </c>
      <c r="F272" t="s">
        <v>216</v>
      </c>
    </row>
    <row r="273" spans="1:6" x14ac:dyDescent="0.3">
      <c r="A273" t="s">
        <v>231</v>
      </c>
      <c r="B273" t="s">
        <v>232</v>
      </c>
      <c r="C273">
        <v>1741</v>
      </c>
      <c r="D273" t="s">
        <v>220</v>
      </c>
      <c r="E273" s="53">
        <v>42211</v>
      </c>
      <c r="F273" t="s">
        <v>228</v>
      </c>
    </row>
    <row r="274" spans="1:6" x14ac:dyDescent="0.3">
      <c r="A274" t="s">
        <v>231</v>
      </c>
      <c r="B274" t="s">
        <v>271</v>
      </c>
      <c r="C274">
        <v>1742</v>
      </c>
      <c r="D274" t="s">
        <v>220</v>
      </c>
      <c r="E274" s="53">
        <v>42226</v>
      </c>
      <c r="F274" t="s">
        <v>228</v>
      </c>
    </row>
    <row r="275" spans="1:6" x14ac:dyDescent="0.3">
      <c r="A275" t="s">
        <v>239</v>
      </c>
      <c r="B275" t="s">
        <v>243</v>
      </c>
      <c r="C275">
        <v>1746</v>
      </c>
      <c r="D275" t="s">
        <v>220</v>
      </c>
      <c r="E275" s="53">
        <v>42000</v>
      </c>
      <c r="F275" t="s">
        <v>221</v>
      </c>
    </row>
    <row r="276" spans="1:6" x14ac:dyDescent="0.3">
      <c r="A276" t="s">
        <v>209</v>
      </c>
      <c r="B276" t="s">
        <v>270</v>
      </c>
      <c r="C276">
        <v>1755</v>
      </c>
      <c r="D276" t="s">
        <v>225</v>
      </c>
      <c r="E276" s="53">
        <v>42350</v>
      </c>
      <c r="F276" t="s">
        <v>221</v>
      </c>
    </row>
    <row r="277" spans="1:6" x14ac:dyDescent="0.3">
      <c r="A277" t="s">
        <v>236</v>
      </c>
      <c r="B277" t="s">
        <v>253</v>
      </c>
      <c r="C277">
        <v>1756</v>
      </c>
      <c r="D277" t="s">
        <v>225</v>
      </c>
      <c r="E277" s="53">
        <v>41927</v>
      </c>
      <c r="F277" t="s">
        <v>221</v>
      </c>
    </row>
    <row r="278" spans="1:6" x14ac:dyDescent="0.3">
      <c r="A278" t="s">
        <v>239</v>
      </c>
      <c r="B278" t="s">
        <v>267</v>
      </c>
      <c r="C278">
        <v>1763</v>
      </c>
      <c r="D278" t="s">
        <v>222</v>
      </c>
      <c r="E278" s="53">
        <v>42042</v>
      </c>
      <c r="F278" t="s">
        <v>212</v>
      </c>
    </row>
    <row r="279" spans="1:6" x14ac:dyDescent="0.3">
      <c r="A279" t="s">
        <v>213</v>
      </c>
      <c r="B279" t="s">
        <v>217</v>
      </c>
      <c r="C279">
        <v>1770</v>
      </c>
      <c r="D279" t="s">
        <v>235</v>
      </c>
      <c r="E279" s="53">
        <v>41915</v>
      </c>
      <c r="F279" t="s">
        <v>221</v>
      </c>
    </row>
    <row r="280" spans="1:6" x14ac:dyDescent="0.3">
      <c r="A280" t="s">
        <v>223</v>
      </c>
      <c r="B280" t="s">
        <v>282</v>
      </c>
      <c r="C280">
        <v>1776</v>
      </c>
      <c r="D280" t="s">
        <v>218</v>
      </c>
      <c r="E280" s="53">
        <v>42071</v>
      </c>
      <c r="F280" t="s">
        <v>212</v>
      </c>
    </row>
    <row r="281" spans="1:6" x14ac:dyDescent="0.3">
      <c r="A281" t="s">
        <v>233</v>
      </c>
      <c r="B281" t="s">
        <v>234</v>
      </c>
      <c r="C281">
        <v>1780</v>
      </c>
      <c r="D281" t="s">
        <v>220</v>
      </c>
      <c r="E281" s="53">
        <v>42028</v>
      </c>
      <c r="F281" t="s">
        <v>212</v>
      </c>
    </row>
    <row r="282" spans="1:6" x14ac:dyDescent="0.3">
      <c r="A282" t="s">
        <v>213</v>
      </c>
      <c r="B282" t="s">
        <v>214</v>
      </c>
      <c r="C282">
        <v>1780</v>
      </c>
      <c r="D282" t="s">
        <v>254</v>
      </c>
      <c r="E282" s="53">
        <v>41859</v>
      </c>
      <c r="F282" t="s">
        <v>228</v>
      </c>
    </row>
    <row r="283" spans="1:6" x14ac:dyDescent="0.3">
      <c r="A283" t="s">
        <v>209</v>
      </c>
      <c r="B283" t="s">
        <v>226</v>
      </c>
      <c r="C283">
        <v>1780</v>
      </c>
      <c r="D283" t="s">
        <v>225</v>
      </c>
      <c r="E283" s="53">
        <v>41991</v>
      </c>
      <c r="F283" t="s">
        <v>221</v>
      </c>
    </row>
    <row r="284" spans="1:6" x14ac:dyDescent="0.3">
      <c r="A284" t="s">
        <v>246</v>
      </c>
      <c r="B284" t="s">
        <v>262</v>
      </c>
      <c r="C284">
        <v>1783</v>
      </c>
      <c r="D284" t="s">
        <v>222</v>
      </c>
      <c r="E284" s="53">
        <v>42006</v>
      </c>
      <c r="F284" t="s">
        <v>212</v>
      </c>
    </row>
    <row r="285" spans="1:6" x14ac:dyDescent="0.3">
      <c r="A285" t="s">
        <v>236</v>
      </c>
      <c r="B285" t="s">
        <v>292</v>
      </c>
      <c r="C285">
        <v>1784</v>
      </c>
      <c r="D285" t="s">
        <v>211</v>
      </c>
      <c r="E285" s="53">
        <v>42325</v>
      </c>
      <c r="F285" t="s">
        <v>221</v>
      </c>
    </row>
    <row r="286" spans="1:6" x14ac:dyDescent="0.3">
      <c r="A286" t="s">
        <v>231</v>
      </c>
      <c r="B286" t="s">
        <v>306</v>
      </c>
      <c r="C286">
        <v>1787</v>
      </c>
      <c r="D286" t="s">
        <v>218</v>
      </c>
      <c r="E286" s="53">
        <v>42044</v>
      </c>
      <c r="F286" t="s">
        <v>212</v>
      </c>
    </row>
    <row r="287" spans="1:6" x14ac:dyDescent="0.3">
      <c r="A287" t="s">
        <v>236</v>
      </c>
      <c r="B287" t="s">
        <v>292</v>
      </c>
      <c r="C287">
        <v>1791</v>
      </c>
      <c r="D287" t="s">
        <v>220</v>
      </c>
      <c r="E287" s="53">
        <v>41868</v>
      </c>
      <c r="F287" t="s">
        <v>228</v>
      </c>
    </row>
    <row r="288" spans="1:6" x14ac:dyDescent="0.3">
      <c r="A288" t="s">
        <v>223</v>
      </c>
      <c r="B288" t="s">
        <v>241</v>
      </c>
      <c r="C288">
        <v>1792</v>
      </c>
      <c r="D288" t="s">
        <v>235</v>
      </c>
      <c r="E288" s="53">
        <v>41818</v>
      </c>
      <c r="F288" t="s">
        <v>216</v>
      </c>
    </row>
    <row r="289" spans="1:6" x14ac:dyDescent="0.3">
      <c r="A289" t="s">
        <v>239</v>
      </c>
      <c r="B289" t="s">
        <v>267</v>
      </c>
      <c r="C289">
        <v>1792</v>
      </c>
      <c r="D289" t="s">
        <v>245</v>
      </c>
      <c r="E289" s="53">
        <v>42176</v>
      </c>
      <c r="F289" t="s">
        <v>216</v>
      </c>
    </row>
    <row r="290" spans="1:6" x14ac:dyDescent="0.3">
      <c r="A290" t="s">
        <v>236</v>
      </c>
      <c r="B290" t="s">
        <v>253</v>
      </c>
      <c r="C290">
        <v>1793</v>
      </c>
      <c r="D290" t="s">
        <v>235</v>
      </c>
      <c r="E290" s="53">
        <v>42206</v>
      </c>
      <c r="F290" t="s">
        <v>228</v>
      </c>
    </row>
    <row r="291" spans="1:6" x14ac:dyDescent="0.3">
      <c r="A291" t="s">
        <v>209</v>
      </c>
      <c r="B291" t="s">
        <v>264</v>
      </c>
      <c r="C291">
        <v>1794</v>
      </c>
      <c r="D291" t="s">
        <v>225</v>
      </c>
      <c r="E291" s="53">
        <v>42038</v>
      </c>
      <c r="F291" t="s">
        <v>212</v>
      </c>
    </row>
    <row r="292" spans="1:6" x14ac:dyDescent="0.3">
      <c r="A292" t="s">
        <v>246</v>
      </c>
      <c r="B292" t="s">
        <v>287</v>
      </c>
      <c r="C292">
        <v>1809</v>
      </c>
      <c r="D292" t="s">
        <v>211</v>
      </c>
      <c r="E292" s="53">
        <v>42011</v>
      </c>
      <c r="F292" t="s">
        <v>212</v>
      </c>
    </row>
    <row r="293" spans="1:6" x14ac:dyDescent="0.3">
      <c r="A293" t="s">
        <v>213</v>
      </c>
      <c r="B293" t="s">
        <v>299</v>
      </c>
      <c r="C293">
        <v>1809</v>
      </c>
      <c r="D293" t="s">
        <v>235</v>
      </c>
      <c r="E293" s="53">
        <v>41929</v>
      </c>
      <c r="F293" t="s">
        <v>221</v>
      </c>
    </row>
    <row r="294" spans="1:6" x14ac:dyDescent="0.3">
      <c r="A294" t="s">
        <v>233</v>
      </c>
      <c r="B294" t="s">
        <v>251</v>
      </c>
      <c r="C294">
        <v>1811</v>
      </c>
      <c r="D294" t="s">
        <v>222</v>
      </c>
      <c r="E294" s="53">
        <v>42013</v>
      </c>
      <c r="F294" t="s">
        <v>212</v>
      </c>
    </row>
    <row r="295" spans="1:6" x14ac:dyDescent="0.3">
      <c r="A295" t="s">
        <v>213</v>
      </c>
      <c r="B295" t="s">
        <v>268</v>
      </c>
      <c r="C295">
        <v>1813</v>
      </c>
      <c r="D295" t="s">
        <v>230</v>
      </c>
      <c r="E295" s="53">
        <v>41689</v>
      </c>
      <c r="F295" t="s">
        <v>212</v>
      </c>
    </row>
    <row r="296" spans="1:6" x14ac:dyDescent="0.3">
      <c r="A296" t="s">
        <v>246</v>
      </c>
      <c r="B296" t="s">
        <v>301</v>
      </c>
      <c r="C296">
        <v>1815</v>
      </c>
      <c r="D296" t="s">
        <v>218</v>
      </c>
      <c r="E296" s="53">
        <v>41762</v>
      </c>
      <c r="F296" t="s">
        <v>216</v>
      </c>
    </row>
    <row r="297" spans="1:6" x14ac:dyDescent="0.3">
      <c r="A297" t="s">
        <v>213</v>
      </c>
      <c r="B297" t="s">
        <v>277</v>
      </c>
      <c r="C297">
        <v>1819</v>
      </c>
      <c r="D297" t="s">
        <v>211</v>
      </c>
      <c r="E297" s="53">
        <v>42181</v>
      </c>
      <c r="F297" t="s">
        <v>216</v>
      </c>
    </row>
    <row r="298" spans="1:6" x14ac:dyDescent="0.3">
      <c r="A298" t="s">
        <v>246</v>
      </c>
      <c r="B298" t="s">
        <v>247</v>
      </c>
      <c r="C298">
        <v>1822</v>
      </c>
      <c r="D298" t="s">
        <v>230</v>
      </c>
      <c r="E298" s="53">
        <v>42007</v>
      </c>
      <c r="F298" t="s">
        <v>212</v>
      </c>
    </row>
    <row r="299" spans="1:6" x14ac:dyDescent="0.3">
      <c r="A299" t="s">
        <v>239</v>
      </c>
      <c r="B299" t="s">
        <v>240</v>
      </c>
      <c r="C299">
        <v>1822</v>
      </c>
      <c r="D299" t="s">
        <v>254</v>
      </c>
      <c r="E299" s="53">
        <v>42205</v>
      </c>
      <c r="F299" t="s">
        <v>228</v>
      </c>
    </row>
    <row r="300" spans="1:6" x14ac:dyDescent="0.3">
      <c r="A300" t="s">
        <v>239</v>
      </c>
      <c r="B300" t="s">
        <v>272</v>
      </c>
      <c r="C300">
        <v>1834</v>
      </c>
      <c r="D300" t="s">
        <v>218</v>
      </c>
      <c r="E300" s="53">
        <v>41801</v>
      </c>
      <c r="F300" t="s">
        <v>216</v>
      </c>
    </row>
    <row r="301" spans="1:6" x14ac:dyDescent="0.3">
      <c r="A301" t="s">
        <v>233</v>
      </c>
      <c r="B301" t="s">
        <v>255</v>
      </c>
      <c r="C301">
        <v>1845</v>
      </c>
      <c r="D301" t="s">
        <v>211</v>
      </c>
      <c r="E301" s="53">
        <v>42244</v>
      </c>
      <c r="F301" t="s">
        <v>228</v>
      </c>
    </row>
    <row r="302" spans="1:6" x14ac:dyDescent="0.3">
      <c r="A302" t="s">
        <v>246</v>
      </c>
      <c r="B302" t="s">
        <v>274</v>
      </c>
      <c r="C302">
        <v>1849</v>
      </c>
      <c r="D302" t="s">
        <v>254</v>
      </c>
      <c r="E302" s="53">
        <v>42044</v>
      </c>
      <c r="F302" t="s">
        <v>212</v>
      </c>
    </row>
    <row r="303" spans="1:6" x14ac:dyDescent="0.3">
      <c r="A303" t="s">
        <v>233</v>
      </c>
      <c r="B303" t="s">
        <v>285</v>
      </c>
      <c r="C303">
        <v>1854</v>
      </c>
      <c r="D303" t="s">
        <v>220</v>
      </c>
      <c r="E303" s="53">
        <v>41856</v>
      </c>
      <c r="F303" t="s">
        <v>228</v>
      </c>
    </row>
    <row r="304" spans="1:6" x14ac:dyDescent="0.3">
      <c r="A304" t="s">
        <v>239</v>
      </c>
      <c r="B304" t="s">
        <v>267</v>
      </c>
      <c r="C304">
        <v>1854</v>
      </c>
      <c r="D304" t="s">
        <v>245</v>
      </c>
      <c r="E304" s="53">
        <v>41986</v>
      </c>
      <c r="F304" t="s">
        <v>221</v>
      </c>
    </row>
    <row r="305" spans="1:6" x14ac:dyDescent="0.3">
      <c r="A305" t="s">
        <v>231</v>
      </c>
      <c r="B305" t="s">
        <v>309</v>
      </c>
      <c r="C305">
        <v>1862</v>
      </c>
      <c r="D305" t="s">
        <v>220</v>
      </c>
      <c r="E305" s="53">
        <v>42201</v>
      </c>
      <c r="F305" t="s">
        <v>228</v>
      </c>
    </row>
    <row r="306" spans="1:6" x14ac:dyDescent="0.3">
      <c r="A306" t="s">
        <v>231</v>
      </c>
      <c r="B306" t="s">
        <v>232</v>
      </c>
      <c r="C306">
        <v>1866</v>
      </c>
      <c r="D306" t="s">
        <v>211</v>
      </c>
      <c r="E306" s="53">
        <v>42087</v>
      </c>
      <c r="F306" t="s">
        <v>212</v>
      </c>
    </row>
    <row r="307" spans="1:6" x14ac:dyDescent="0.3">
      <c r="A307" t="s">
        <v>233</v>
      </c>
      <c r="B307" t="s">
        <v>252</v>
      </c>
      <c r="C307">
        <v>1866</v>
      </c>
      <c r="D307" t="s">
        <v>220</v>
      </c>
      <c r="E307" s="53">
        <v>42225</v>
      </c>
      <c r="F307" t="s">
        <v>228</v>
      </c>
    </row>
    <row r="308" spans="1:6" x14ac:dyDescent="0.3">
      <c r="A308" t="s">
        <v>236</v>
      </c>
      <c r="B308" t="s">
        <v>238</v>
      </c>
      <c r="C308">
        <v>1869</v>
      </c>
      <c r="D308" t="s">
        <v>220</v>
      </c>
      <c r="E308" s="53">
        <v>42249</v>
      </c>
      <c r="F308" t="s">
        <v>228</v>
      </c>
    </row>
    <row r="309" spans="1:6" x14ac:dyDescent="0.3">
      <c r="A309" t="s">
        <v>213</v>
      </c>
      <c r="B309" t="s">
        <v>278</v>
      </c>
      <c r="C309">
        <v>1870</v>
      </c>
      <c r="D309" t="s">
        <v>254</v>
      </c>
      <c r="E309" s="53">
        <v>42138</v>
      </c>
      <c r="F309" t="s">
        <v>216</v>
      </c>
    </row>
    <row r="310" spans="1:6" x14ac:dyDescent="0.3">
      <c r="A310" t="s">
        <v>223</v>
      </c>
      <c r="B310" t="s">
        <v>304</v>
      </c>
      <c r="C310">
        <v>1871</v>
      </c>
      <c r="D310" t="s">
        <v>235</v>
      </c>
      <c r="E310" s="53">
        <v>41990</v>
      </c>
      <c r="F310" t="s">
        <v>221</v>
      </c>
    </row>
    <row r="311" spans="1:6" x14ac:dyDescent="0.3">
      <c r="A311" t="s">
        <v>233</v>
      </c>
      <c r="B311" t="s">
        <v>252</v>
      </c>
      <c r="C311">
        <v>1873</v>
      </c>
      <c r="D311" t="s">
        <v>222</v>
      </c>
      <c r="E311" s="53">
        <v>42022</v>
      </c>
      <c r="F311" t="s">
        <v>212</v>
      </c>
    </row>
    <row r="312" spans="1:6" x14ac:dyDescent="0.3">
      <c r="A312" t="s">
        <v>246</v>
      </c>
      <c r="B312" t="s">
        <v>287</v>
      </c>
      <c r="C312">
        <v>1880</v>
      </c>
      <c r="D312" t="s">
        <v>230</v>
      </c>
      <c r="E312" s="53">
        <v>42281</v>
      </c>
      <c r="F312" t="s">
        <v>221</v>
      </c>
    </row>
    <row r="313" spans="1:6" x14ac:dyDescent="0.3">
      <c r="A313" t="s">
        <v>223</v>
      </c>
      <c r="B313" t="s">
        <v>224</v>
      </c>
      <c r="C313">
        <v>1884</v>
      </c>
      <c r="D313" t="s">
        <v>215</v>
      </c>
      <c r="E313" s="53">
        <v>42165</v>
      </c>
      <c r="F313" t="s">
        <v>216</v>
      </c>
    </row>
    <row r="314" spans="1:6" x14ac:dyDescent="0.3">
      <c r="A314" t="s">
        <v>209</v>
      </c>
      <c r="B314" t="s">
        <v>226</v>
      </c>
      <c r="C314">
        <v>1886</v>
      </c>
      <c r="D314" t="s">
        <v>215</v>
      </c>
      <c r="E314" s="53">
        <v>42101</v>
      </c>
      <c r="F314" t="s">
        <v>216</v>
      </c>
    </row>
    <row r="315" spans="1:6" x14ac:dyDescent="0.3">
      <c r="A315" t="s">
        <v>209</v>
      </c>
      <c r="B315" t="s">
        <v>210</v>
      </c>
      <c r="C315">
        <v>1892</v>
      </c>
      <c r="D315" t="s">
        <v>235</v>
      </c>
      <c r="E315" s="53">
        <v>42159</v>
      </c>
      <c r="F315" t="s">
        <v>216</v>
      </c>
    </row>
    <row r="316" spans="1:6" x14ac:dyDescent="0.3">
      <c r="A316" t="s">
        <v>213</v>
      </c>
      <c r="B316" t="s">
        <v>229</v>
      </c>
      <c r="C316">
        <v>1893</v>
      </c>
      <c r="D316" t="s">
        <v>215</v>
      </c>
      <c r="E316" s="53">
        <v>41877</v>
      </c>
      <c r="F316" t="s">
        <v>228</v>
      </c>
    </row>
    <row r="317" spans="1:6" x14ac:dyDescent="0.3">
      <c r="A317" t="s">
        <v>223</v>
      </c>
      <c r="B317" t="s">
        <v>293</v>
      </c>
      <c r="C317">
        <v>1905</v>
      </c>
      <c r="D317" t="s">
        <v>211</v>
      </c>
      <c r="E317" s="53">
        <v>41877</v>
      </c>
      <c r="F317" t="s">
        <v>228</v>
      </c>
    </row>
    <row r="318" spans="1:6" x14ac:dyDescent="0.3">
      <c r="A318" t="s">
        <v>231</v>
      </c>
      <c r="B318" t="s">
        <v>275</v>
      </c>
      <c r="C318">
        <v>1912</v>
      </c>
      <c r="D318" t="s">
        <v>235</v>
      </c>
      <c r="E318" s="53">
        <v>42109</v>
      </c>
      <c r="F318" t="s">
        <v>216</v>
      </c>
    </row>
    <row r="319" spans="1:6" x14ac:dyDescent="0.3">
      <c r="A319" t="s">
        <v>236</v>
      </c>
      <c r="B319" t="s">
        <v>294</v>
      </c>
      <c r="C319">
        <v>1913</v>
      </c>
      <c r="D319" t="s">
        <v>215</v>
      </c>
      <c r="E319" s="53">
        <v>42006</v>
      </c>
      <c r="F319" t="s">
        <v>212</v>
      </c>
    </row>
    <row r="320" spans="1:6" x14ac:dyDescent="0.3">
      <c r="A320" t="s">
        <v>233</v>
      </c>
      <c r="B320" t="s">
        <v>310</v>
      </c>
      <c r="C320">
        <v>1919</v>
      </c>
      <c r="D320" t="s">
        <v>245</v>
      </c>
      <c r="E320" s="53">
        <v>42116</v>
      </c>
      <c r="F320" t="s">
        <v>216</v>
      </c>
    </row>
    <row r="321" spans="1:6" x14ac:dyDescent="0.3">
      <c r="A321" t="s">
        <v>223</v>
      </c>
      <c r="B321" t="s">
        <v>282</v>
      </c>
      <c r="C321">
        <v>1921</v>
      </c>
      <c r="D321" t="s">
        <v>211</v>
      </c>
      <c r="E321" s="53">
        <v>42074</v>
      </c>
      <c r="F321" t="s">
        <v>212</v>
      </c>
    </row>
    <row r="322" spans="1:6" x14ac:dyDescent="0.3">
      <c r="A322" t="s">
        <v>233</v>
      </c>
      <c r="B322" t="s">
        <v>251</v>
      </c>
      <c r="C322">
        <v>1921</v>
      </c>
      <c r="D322" t="s">
        <v>254</v>
      </c>
      <c r="E322" s="53">
        <v>42113</v>
      </c>
      <c r="F322" t="s">
        <v>216</v>
      </c>
    </row>
    <row r="323" spans="1:6" x14ac:dyDescent="0.3">
      <c r="A323" t="s">
        <v>213</v>
      </c>
      <c r="B323" t="s">
        <v>217</v>
      </c>
      <c r="C323">
        <v>1930</v>
      </c>
      <c r="D323" t="s">
        <v>222</v>
      </c>
      <c r="E323" s="53">
        <v>42237</v>
      </c>
      <c r="F323" t="s">
        <v>228</v>
      </c>
    </row>
    <row r="324" spans="1:6" x14ac:dyDescent="0.3">
      <c r="A324" t="s">
        <v>223</v>
      </c>
      <c r="B324" t="s">
        <v>224</v>
      </c>
      <c r="C324">
        <v>1931</v>
      </c>
      <c r="D324" t="s">
        <v>245</v>
      </c>
      <c r="E324" s="53">
        <v>41782</v>
      </c>
      <c r="F324" t="s">
        <v>216</v>
      </c>
    </row>
    <row r="325" spans="1:6" x14ac:dyDescent="0.3">
      <c r="A325" t="s">
        <v>209</v>
      </c>
      <c r="B325" t="s">
        <v>219</v>
      </c>
      <c r="C325">
        <v>1938</v>
      </c>
      <c r="D325" t="s">
        <v>245</v>
      </c>
      <c r="E325" s="53">
        <v>41683</v>
      </c>
      <c r="F325" t="s">
        <v>212</v>
      </c>
    </row>
    <row r="326" spans="1:6" x14ac:dyDescent="0.3">
      <c r="A326" t="s">
        <v>236</v>
      </c>
      <c r="B326" t="s">
        <v>300</v>
      </c>
      <c r="C326">
        <v>1948</v>
      </c>
      <c r="D326" t="s">
        <v>254</v>
      </c>
      <c r="E326" s="53">
        <v>42134</v>
      </c>
      <c r="F326" t="s">
        <v>216</v>
      </c>
    </row>
    <row r="327" spans="1:6" x14ac:dyDescent="0.3">
      <c r="A327" t="s">
        <v>236</v>
      </c>
      <c r="B327" t="s">
        <v>300</v>
      </c>
      <c r="C327">
        <v>1951</v>
      </c>
      <c r="D327" t="s">
        <v>245</v>
      </c>
      <c r="E327" s="53">
        <v>41665</v>
      </c>
      <c r="F327" t="s">
        <v>212</v>
      </c>
    </row>
    <row r="328" spans="1:6" x14ac:dyDescent="0.3">
      <c r="A328" t="s">
        <v>223</v>
      </c>
      <c r="B328" t="s">
        <v>276</v>
      </c>
      <c r="C328">
        <v>1955</v>
      </c>
      <c r="D328" t="s">
        <v>218</v>
      </c>
      <c r="E328" s="53">
        <v>41657</v>
      </c>
      <c r="F328" t="s">
        <v>212</v>
      </c>
    </row>
    <row r="329" spans="1:6" x14ac:dyDescent="0.3">
      <c r="A329" t="s">
        <v>209</v>
      </c>
      <c r="B329" t="s">
        <v>261</v>
      </c>
      <c r="C329">
        <v>1962</v>
      </c>
      <c r="D329" t="s">
        <v>211</v>
      </c>
      <c r="E329" s="53">
        <v>41903</v>
      </c>
      <c r="F329" t="s">
        <v>228</v>
      </c>
    </row>
    <row r="330" spans="1:6" x14ac:dyDescent="0.3">
      <c r="A330" t="s">
        <v>236</v>
      </c>
      <c r="B330" t="s">
        <v>238</v>
      </c>
      <c r="C330">
        <v>1964</v>
      </c>
      <c r="D330" t="s">
        <v>220</v>
      </c>
      <c r="E330" s="53">
        <v>41926</v>
      </c>
      <c r="F330" t="s">
        <v>221</v>
      </c>
    </row>
    <row r="331" spans="1:6" x14ac:dyDescent="0.3">
      <c r="A331" t="s">
        <v>223</v>
      </c>
      <c r="B331" t="s">
        <v>280</v>
      </c>
      <c r="C331">
        <v>1966</v>
      </c>
      <c r="D331" t="s">
        <v>230</v>
      </c>
      <c r="E331" s="53">
        <v>41732</v>
      </c>
      <c r="F331" t="s">
        <v>216</v>
      </c>
    </row>
    <row r="332" spans="1:6" x14ac:dyDescent="0.3">
      <c r="A332" t="s">
        <v>236</v>
      </c>
      <c r="B332" t="s">
        <v>308</v>
      </c>
      <c r="C332">
        <v>1968</v>
      </c>
      <c r="D332" t="s">
        <v>230</v>
      </c>
      <c r="E332" s="53">
        <v>41983</v>
      </c>
      <c r="F332" t="s">
        <v>221</v>
      </c>
    </row>
    <row r="333" spans="1:6" x14ac:dyDescent="0.3">
      <c r="A333" t="s">
        <v>223</v>
      </c>
      <c r="B333" t="s">
        <v>276</v>
      </c>
      <c r="C333">
        <v>1970</v>
      </c>
      <c r="D333" t="s">
        <v>235</v>
      </c>
      <c r="E333" s="53">
        <v>41863</v>
      </c>
      <c r="F333" t="s">
        <v>228</v>
      </c>
    </row>
    <row r="334" spans="1:6" x14ac:dyDescent="0.3">
      <c r="A334" t="s">
        <v>236</v>
      </c>
      <c r="B334" t="s">
        <v>291</v>
      </c>
      <c r="C334">
        <v>1974</v>
      </c>
      <c r="D334" t="s">
        <v>230</v>
      </c>
      <c r="E334" s="53">
        <v>42120</v>
      </c>
      <c r="F334" t="s">
        <v>216</v>
      </c>
    </row>
    <row r="335" spans="1:6" x14ac:dyDescent="0.3">
      <c r="A335" t="s">
        <v>233</v>
      </c>
      <c r="B335" t="s">
        <v>310</v>
      </c>
      <c r="C335">
        <v>1976</v>
      </c>
      <c r="D335" t="s">
        <v>230</v>
      </c>
      <c r="E335" s="53">
        <v>41917</v>
      </c>
      <c r="F335" t="s">
        <v>221</v>
      </c>
    </row>
    <row r="336" spans="1:6" x14ac:dyDescent="0.3">
      <c r="A336" t="s">
        <v>239</v>
      </c>
      <c r="B336" t="s">
        <v>240</v>
      </c>
      <c r="C336">
        <v>1980</v>
      </c>
      <c r="D336" t="s">
        <v>245</v>
      </c>
      <c r="E336" s="53">
        <v>42316</v>
      </c>
      <c r="F336" t="s">
        <v>221</v>
      </c>
    </row>
    <row r="337" spans="1:6" x14ac:dyDescent="0.3">
      <c r="A337" t="s">
        <v>233</v>
      </c>
      <c r="B337" t="s">
        <v>251</v>
      </c>
      <c r="C337">
        <v>1981</v>
      </c>
      <c r="D337" t="s">
        <v>254</v>
      </c>
      <c r="E337" s="53">
        <v>42350</v>
      </c>
      <c r="F337" t="s">
        <v>221</v>
      </c>
    </row>
    <row r="338" spans="1:6" x14ac:dyDescent="0.3">
      <c r="A338" t="s">
        <v>236</v>
      </c>
      <c r="B338" t="s">
        <v>294</v>
      </c>
      <c r="C338">
        <v>1982</v>
      </c>
      <c r="D338" t="s">
        <v>235</v>
      </c>
      <c r="E338" s="53">
        <v>42069</v>
      </c>
      <c r="F338" t="s">
        <v>212</v>
      </c>
    </row>
    <row r="339" spans="1:6" x14ac:dyDescent="0.3">
      <c r="A339" t="s">
        <v>223</v>
      </c>
      <c r="B339" t="s">
        <v>311</v>
      </c>
      <c r="C339">
        <v>1991</v>
      </c>
      <c r="D339" t="s">
        <v>218</v>
      </c>
      <c r="E339" s="53">
        <v>41895</v>
      </c>
      <c r="F339" t="s">
        <v>228</v>
      </c>
    </row>
    <row r="340" spans="1:6" x14ac:dyDescent="0.3">
      <c r="A340" t="s">
        <v>233</v>
      </c>
      <c r="B340" t="s">
        <v>305</v>
      </c>
      <c r="C340">
        <v>1994</v>
      </c>
      <c r="D340" t="s">
        <v>215</v>
      </c>
      <c r="E340" s="53">
        <v>41653</v>
      </c>
      <c r="F340" t="s">
        <v>212</v>
      </c>
    </row>
    <row r="341" spans="1:6" x14ac:dyDescent="0.3">
      <c r="A341" t="s">
        <v>233</v>
      </c>
      <c r="B341" t="s">
        <v>310</v>
      </c>
      <c r="C341">
        <v>1996</v>
      </c>
      <c r="D341" t="s">
        <v>211</v>
      </c>
      <c r="E341" s="53">
        <v>42187</v>
      </c>
      <c r="F341" t="s">
        <v>228</v>
      </c>
    </row>
    <row r="342" spans="1:6" x14ac:dyDescent="0.3">
      <c r="A342" t="s">
        <v>236</v>
      </c>
      <c r="B342" t="s">
        <v>237</v>
      </c>
      <c r="C342">
        <v>1997</v>
      </c>
      <c r="D342" t="s">
        <v>235</v>
      </c>
      <c r="E342" s="53">
        <v>42127</v>
      </c>
      <c r="F342" t="s">
        <v>216</v>
      </c>
    </row>
    <row r="343" spans="1:6" x14ac:dyDescent="0.3">
      <c r="A343" t="s">
        <v>223</v>
      </c>
      <c r="B343" t="s">
        <v>295</v>
      </c>
      <c r="C343">
        <v>2000</v>
      </c>
      <c r="D343" t="s">
        <v>254</v>
      </c>
      <c r="E343" s="53">
        <v>42079</v>
      </c>
      <c r="F343" t="s">
        <v>212</v>
      </c>
    </row>
    <row r="344" spans="1:6" x14ac:dyDescent="0.3">
      <c r="A344" t="s">
        <v>233</v>
      </c>
      <c r="B344" t="s">
        <v>281</v>
      </c>
      <c r="C344">
        <v>2003</v>
      </c>
      <c r="D344" t="s">
        <v>218</v>
      </c>
      <c r="E344" s="53">
        <v>41931</v>
      </c>
      <c r="F344" t="s">
        <v>221</v>
      </c>
    </row>
    <row r="345" spans="1:6" x14ac:dyDescent="0.3">
      <c r="A345" t="s">
        <v>233</v>
      </c>
      <c r="B345" t="s">
        <v>258</v>
      </c>
      <c r="C345">
        <v>2003</v>
      </c>
      <c r="D345" t="s">
        <v>222</v>
      </c>
      <c r="E345" s="53">
        <v>42317</v>
      </c>
      <c r="F345" t="s">
        <v>221</v>
      </c>
    </row>
    <row r="346" spans="1:6" x14ac:dyDescent="0.3">
      <c r="A346" t="s">
        <v>209</v>
      </c>
      <c r="B346" t="s">
        <v>297</v>
      </c>
      <c r="C346">
        <v>2007</v>
      </c>
      <c r="D346" t="s">
        <v>220</v>
      </c>
      <c r="E346" s="53">
        <v>42323</v>
      </c>
      <c r="F346" t="s">
        <v>221</v>
      </c>
    </row>
    <row r="347" spans="1:6" x14ac:dyDescent="0.3">
      <c r="A347" t="s">
        <v>236</v>
      </c>
      <c r="B347" t="s">
        <v>296</v>
      </c>
      <c r="C347">
        <v>2011</v>
      </c>
      <c r="D347" t="s">
        <v>218</v>
      </c>
      <c r="E347" s="53">
        <v>42085</v>
      </c>
      <c r="F347" t="s">
        <v>212</v>
      </c>
    </row>
    <row r="348" spans="1:6" x14ac:dyDescent="0.3">
      <c r="A348" t="s">
        <v>223</v>
      </c>
      <c r="B348" t="s">
        <v>273</v>
      </c>
      <c r="C348">
        <v>2013</v>
      </c>
      <c r="D348" t="s">
        <v>235</v>
      </c>
      <c r="E348" s="53">
        <v>42351</v>
      </c>
      <c r="F348" t="s">
        <v>221</v>
      </c>
    </row>
    <row r="349" spans="1:6" x14ac:dyDescent="0.3">
      <c r="A349" t="s">
        <v>233</v>
      </c>
      <c r="B349" t="s">
        <v>281</v>
      </c>
      <c r="C349">
        <v>2015</v>
      </c>
      <c r="D349" t="s">
        <v>211</v>
      </c>
      <c r="E349" s="53">
        <v>42173</v>
      </c>
      <c r="F349" t="s">
        <v>216</v>
      </c>
    </row>
    <row r="350" spans="1:6" x14ac:dyDescent="0.3">
      <c r="A350" t="s">
        <v>233</v>
      </c>
      <c r="B350" t="s">
        <v>234</v>
      </c>
      <c r="C350">
        <v>2019</v>
      </c>
      <c r="D350" t="s">
        <v>218</v>
      </c>
      <c r="E350" s="53">
        <v>41641</v>
      </c>
      <c r="F350" t="s">
        <v>212</v>
      </c>
    </row>
    <row r="351" spans="1:6" x14ac:dyDescent="0.3">
      <c r="A351" t="s">
        <v>246</v>
      </c>
      <c r="B351" t="s">
        <v>274</v>
      </c>
      <c r="C351">
        <v>2019</v>
      </c>
      <c r="D351" t="s">
        <v>225</v>
      </c>
      <c r="E351" s="53">
        <v>42294</v>
      </c>
      <c r="F351" t="s">
        <v>221</v>
      </c>
    </row>
    <row r="352" spans="1:6" x14ac:dyDescent="0.3">
      <c r="A352" t="s">
        <v>223</v>
      </c>
      <c r="B352" t="s">
        <v>276</v>
      </c>
      <c r="C352">
        <v>2022</v>
      </c>
      <c r="D352" t="s">
        <v>211</v>
      </c>
      <c r="E352" s="53">
        <v>41917</v>
      </c>
      <c r="F352" t="s">
        <v>221</v>
      </c>
    </row>
    <row r="353" spans="1:6" x14ac:dyDescent="0.3">
      <c r="A353" t="s">
        <v>223</v>
      </c>
      <c r="B353" t="s">
        <v>276</v>
      </c>
      <c r="C353">
        <v>2024</v>
      </c>
      <c r="D353" t="s">
        <v>218</v>
      </c>
      <c r="E353" s="53">
        <v>42127</v>
      </c>
      <c r="F353" t="s">
        <v>216</v>
      </c>
    </row>
    <row r="354" spans="1:6" x14ac:dyDescent="0.3">
      <c r="A354" t="s">
        <v>223</v>
      </c>
      <c r="B354" t="s">
        <v>276</v>
      </c>
      <c r="C354">
        <v>2025</v>
      </c>
      <c r="D354" t="s">
        <v>211</v>
      </c>
      <c r="E354" s="53">
        <v>41786</v>
      </c>
      <c r="F354" t="s">
        <v>216</v>
      </c>
    </row>
    <row r="355" spans="1:6" x14ac:dyDescent="0.3">
      <c r="A355" t="s">
        <v>246</v>
      </c>
      <c r="B355" t="s">
        <v>301</v>
      </c>
      <c r="C355">
        <v>2028</v>
      </c>
      <c r="D355" t="s">
        <v>222</v>
      </c>
      <c r="E355" s="53">
        <v>41726</v>
      </c>
      <c r="F355" t="s">
        <v>212</v>
      </c>
    </row>
    <row r="356" spans="1:6" x14ac:dyDescent="0.3">
      <c r="A356" t="s">
        <v>223</v>
      </c>
      <c r="B356" t="s">
        <v>273</v>
      </c>
      <c r="C356">
        <v>2028</v>
      </c>
      <c r="D356" t="s">
        <v>245</v>
      </c>
      <c r="E356" s="53">
        <v>41962</v>
      </c>
      <c r="F356" t="s">
        <v>221</v>
      </c>
    </row>
    <row r="357" spans="1:6" x14ac:dyDescent="0.3">
      <c r="A357" t="s">
        <v>231</v>
      </c>
      <c r="B357" t="s">
        <v>279</v>
      </c>
      <c r="C357">
        <v>2030</v>
      </c>
      <c r="D357" t="s">
        <v>230</v>
      </c>
      <c r="E357" s="53">
        <v>42241</v>
      </c>
      <c r="F357" t="s">
        <v>228</v>
      </c>
    </row>
    <row r="358" spans="1:6" x14ac:dyDescent="0.3">
      <c r="A358" t="s">
        <v>209</v>
      </c>
      <c r="B358" t="s">
        <v>264</v>
      </c>
      <c r="C358">
        <v>2031</v>
      </c>
      <c r="D358" t="s">
        <v>230</v>
      </c>
      <c r="E358" s="53">
        <v>41831</v>
      </c>
      <c r="F358" t="s">
        <v>228</v>
      </c>
    </row>
    <row r="359" spans="1:6" x14ac:dyDescent="0.3">
      <c r="A359" t="s">
        <v>209</v>
      </c>
      <c r="B359" t="s">
        <v>297</v>
      </c>
      <c r="C359">
        <v>2034</v>
      </c>
      <c r="D359" t="s">
        <v>220</v>
      </c>
      <c r="E359" s="53">
        <v>42039</v>
      </c>
      <c r="F359" t="s">
        <v>212</v>
      </c>
    </row>
    <row r="360" spans="1:6" x14ac:dyDescent="0.3">
      <c r="A360" t="s">
        <v>236</v>
      </c>
      <c r="B360" t="s">
        <v>284</v>
      </c>
      <c r="C360">
        <v>2037</v>
      </c>
      <c r="D360" t="s">
        <v>230</v>
      </c>
      <c r="E360" s="53">
        <v>42209</v>
      </c>
      <c r="F360" t="s">
        <v>228</v>
      </c>
    </row>
    <row r="361" spans="1:6" x14ac:dyDescent="0.3">
      <c r="A361" t="s">
        <v>236</v>
      </c>
      <c r="B361" t="s">
        <v>291</v>
      </c>
      <c r="C361">
        <v>2049</v>
      </c>
      <c r="D361" t="s">
        <v>230</v>
      </c>
      <c r="E361" s="53">
        <v>42128</v>
      </c>
      <c r="F361" t="s">
        <v>216</v>
      </c>
    </row>
    <row r="362" spans="1:6" x14ac:dyDescent="0.3">
      <c r="A362" t="s">
        <v>213</v>
      </c>
      <c r="B362" t="s">
        <v>278</v>
      </c>
      <c r="C362">
        <v>2055</v>
      </c>
      <c r="D362" t="s">
        <v>235</v>
      </c>
      <c r="E362" s="53">
        <v>41810</v>
      </c>
      <c r="F362" t="s">
        <v>216</v>
      </c>
    </row>
    <row r="363" spans="1:6" x14ac:dyDescent="0.3">
      <c r="A363" t="s">
        <v>231</v>
      </c>
      <c r="B363" t="s">
        <v>279</v>
      </c>
      <c r="C363">
        <v>2055</v>
      </c>
      <c r="D363" t="s">
        <v>215</v>
      </c>
      <c r="E363" s="53">
        <v>41988</v>
      </c>
      <c r="F363" t="s">
        <v>221</v>
      </c>
    </row>
    <row r="364" spans="1:6" x14ac:dyDescent="0.3">
      <c r="A364" t="s">
        <v>246</v>
      </c>
      <c r="B364" t="s">
        <v>247</v>
      </c>
      <c r="C364">
        <v>2062</v>
      </c>
      <c r="D364" t="s">
        <v>245</v>
      </c>
      <c r="E364" s="53">
        <v>42224</v>
      </c>
      <c r="F364" t="s">
        <v>228</v>
      </c>
    </row>
    <row r="365" spans="1:6" x14ac:dyDescent="0.3">
      <c r="A365" t="s">
        <v>239</v>
      </c>
      <c r="B365" t="s">
        <v>243</v>
      </c>
      <c r="C365">
        <v>2070</v>
      </c>
      <c r="D365" t="s">
        <v>225</v>
      </c>
      <c r="E365" s="53">
        <v>41815</v>
      </c>
      <c r="F365" t="s">
        <v>216</v>
      </c>
    </row>
    <row r="366" spans="1:6" x14ac:dyDescent="0.3">
      <c r="A366" t="s">
        <v>231</v>
      </c>
      <c r="B366" t="s">
        <v>257</v>
      </c>
      <c r="C366">
        <v>2071</v>
      </c>
      <c r="D366" t="s">
        <v>211</v>
      </c>
      <c r="E366" s="53">
        <v>42300</v>
      </c>
      <c r="F366" t="s">
        <v>221</v>
      </c>
    </row>
    <row r="367" spans="1:6" x14ac:dyDescent="0.3">
      <c r="A367" t="s">
        <v>223</v>
      </c>
      <c r="B367" t="s">
        <v>304</v>
      </c>
      <c r="C367">
        <v>2074</v>
      </c>
      <c r="D367" t="s">
        <v>211</v>
      </c>
      <c r="E367" s="53">
        <v>42194</v>
      </c>
      <c r="F367" t="s">
        <v>228</v>
      </c>
    </row>
    <row r="368" spans="1:6" x14ac:dyDescent="0.3">
      <c r="A368" t="s">
        <v>233</v>
      </c>
      <c r="B368" t="s">
        <v>258</v>
      </c>
      <c r="C368">
        <v>2076</v>
      </c>
      <c r="D368" t="s">
        <v>215</v>
      </c>
      <c r="E368" s="53">
        <v>41878</v>
      </c>
      <c r="F368" t="s">
        <v>228</v>
      </c>
    </row>
    <row r="369" spans="1:6" x14ac:dyDescent="0.3">
      <c r="A369" t="s">
        <v>236</v>
      </c>
      <c r="B369" t="s">
        <v>284</v>
      </c>
      <c r="C369">
        <v>2078</v>
      </c>
      <c r="D369" t="s">
        <v>222</v>
      </c>
      <c r="E369" s="53">
        <v>41697</v>
      </c>
      <c r="F369" t="s">
        <v>212</v>
      </c>
    </row>
    <row r="370" spans="1:6" x14ac:dyDescent="0.3">
      <c r="A370" t="s">
        <v>233</v>
      </c>
      <c r="B370" t="s">
        <v>255</v>
      </c>
      <c r="C370">
        <v>2082</v>
      </c>
      <c r="D370" t="s">
        <v>254</v>
      </c>
      <c r="E370" s="53">
        <v>42261</v>
      </c>
      <c r="F370" t="s">
        <v>228</v>
      </c>
    </row>
    <row r="371" spans="1:6" x14ac:dyDescent="0.3">
      <c r="A371" t="s">
        <v>246</v>
      </c>
      <c r="B371" t="s">
        <v>247</v>
      </c>
      <c r="C371">
        <v>2082</v>
      </c>
      <c r="D371" t="s">
        <v>211</v>
      </c>
      <c r="E371" s="53">
        <v>41955</v>
      </c>
      <c r="F371" t="s">
        <v>221</v>
      </c>
    </row>
    <row r="372" spans="1:6" x14ac:dyDescent="0.3">
      <c r="A372" t="s">
        <v>213</v>
      </c>
      <c r="B372" t="s">
        <v>266</v>
      </c>
      <c r="C372">
        <v>2083</v>
      </c>
      <c r="D372" t="s">
        <v>254</v>
      </c>
      <c r="E372" s="53">
        <v>42280</v>
      </c>
      <c r="F372" t="s">
        <v>221</v>
      </c>
    </row>
    <row r="373" spans="1:6" x14ac:dyDescent="0.3">
      <c r="A373" t="s">
        <v>213</v>
      </c>
      <c r="B373" t="s">
        <v>266</v>
      </c>
      <c r="C373">
        <v>2086</v>
      </c>
      <c r="D373" t="s">
        <v>225</v>
      </c>
      <c r="E373" s="53">
        <v>42053</v>
      </c>
      <c r="F373" t="s">
        <v>212</v>
      </c>
    </row>
    <row r="374" spans="1:6" x14ac:dyDescent="0.3">
      <c r="A374" t="s">
        <v>213</v>
      </c>
      <c r="B374" t="s">
        <v>277</v>
      </c>
      <c r="C374">
        <v>2087</v>
      </c>
      <c r="D374" t="s">
        <v>211</v>
      </c>
      <c r="E374" s="53">
        <v>42027</v>
      </c>
      <c r="F374" t="s">
        <v>212</v>
      </c>
    </row>
    <row r="375" spans="1:6" x14ac:dyDescent="0.3">
      <c r="A375" t="s">
        <v>236</v>
      </c>
      <c r="B375" t="s">
        <v>253</v>
      </c>
      <c r="C375">
        <v>2091</v>
      </c>
      <c r="D375" t="s">
        <v>215</v>
      </c>
      <c r="E375" s="53">
        <v>41886</v>
      </c>
      <c r="F375" t="s">
        <v>228</v>
      </c>
    </row>
    <row r="376" spans="1:6" x14ac:dyDescent="0.3">
      <c r="A376" t="s">
        <v>236</v>
      </c>
      <c r="B376" t="s">
        <v>253</v>
      </c>
      <c r="C376">
        <v>2093</v>
      </c>
      <c r="D376" t="s">
        <v>225</v>
      </c>
      <c r="E376" s="53">
        <v>41893</v>
      </c>
      <c r="F376" t="s">
        <v>228</v>
      </c>
    </row>
    <row r="377" spans="1:6" x14ac:dyDescent="0.3">
      <c r="A377" t="s">
        <v>231</v>
      </c>
      <c r="B377" t="s">
        <v>271</v>
      </c>
      <c r="C377">
        <v>2098</v>
      </c>
      <c r="D377" t="s">
        <v>225</v>
      </c>
      <c r="E377" s="53">
        <v>42040</v>
      </c>
      <c r="F377" t="s">
        <v>212</v>
      </c>
    </row>
    <row r="378" spans="1:6" x14ac:dyDescent="0.3">
      <c r="A378" t="s">
        <v>236</v>
      </c>
      <c r="B378" t="s">
        <v>253</v>
      </c>
      <c r="C378">
        <v>2102</v>
      </c>
      <c r="D378" t="s">
        <v>235</v>
      </c>
      <c r="E378" s="53">
        <v>41944</v>
      </c>
      <c r="F378" t="s">
        <v>221</v>
      </c>
    </row>
    <row r="379" spans="1:6" x14ac:dyDescent="0.3">
      <c r="A379" t="s">
        <v>223</v>
      </c>
      <c r="B379" t="s">
        <v>290</v>
      </c>
      <c r="C379">
        <v>2103</v>
      </c>
      <c r="D379" t="s">
        <v>215</v>
      </c>
      <c r="E379" s="53">
        <v>42050</v>
      </c>
      <c r="F379" t="s">
        <v>212</v>
      </c>
    </row>
    <row r="380" spans="1:6" x14ac:dyDescent="0.3">
      <c r="A380" t="s">
        <v>231</v>
      </c>
      <c r="B380" t="s">
        <v>275</v>
      </c>
      <c r="C380">
        <v>2103</v>
      </c>
      <c r="D380" t="s">
        <v>235</v>
      </c>
      <c r="E380" s="53">
        <v>41676</v>
      </c>
      <c r="F380" t="s">
        <v>212</v>
      </c>
    </row>
    <row r="381" spans="1:6" x14ac:dyDescent="0.3">
      <c r="A381" t="s">
        <v>223</v>
      </c>
      <c r="B381" t="s">
        <v>273</v>
      </c>
      <c r="C381">
        <v>2105</v>
      </c>
      <c r="D381" t="s">
        <v>218</v>
      </c>
      <c r="E381" s="53">
        <v>41938</v>
      </c>
      <c r="F381" t="s">
        <v>221</v>
      </c>
    </row>
    <row r="382" spans="1:6" x14ac:dyDescent="0.3">
      <c r="A382" t="s">
        <v>213</v>
      </c>
      <c r="B382" t="s">
        <v>299</v>
      </c>
      <c r="C382">
        <v>2107</v>
      </c>
      <c r="D382" t="s">
        <v>230</v>
      </c>
      <c r="E382" s="53">
        <v>41745</v>
      </c>
      <c r="F382" t="s">
        <v>216</v>
      </c>
    </row>
    <row r="383" spans="1:6" x14ac:dyDescent="0.3">
      <c r="A383" t="s">
        <v>233</v>
      </c>
      <c r="B383" t="s">
        <v>255</v>
      </c>
      <c r="C383">
        <v>2110</v>
      </c>
      <c r="D383" t="s">
        <v>211</v>
      </c>
      <c r="E383" s="53">
        <v>42159</v>
      </c>
      <c r="F383" t="s">
        <v>216</v>
      </c>
    </row>
    <row r="384" spans="1:6" x14ac:dyDescent="0.3">
      <c r="A384" t="s">
        <v>231</v>
      </c>
      <c r="B384" t="s">
        <v>309</v>
      </c>
      <c r="C384">
        <v>2111</v>
      </c>
      <c r="D384" t="s">
        <v>235</v>
      </c>
      <c r="E384" s="53">
        <v>42001</v>
      </c>
      <c r="F384" t="s">
        <v>221</v>
      </c>
    </row>
    <row r="385" spans="1:6" x14ac:dyDescent="0.3">
      <c r="A385" t="s">
        <v>223</v>
      </c>
      <c r="B385" t="s">
        <v>282</v>
      </c>
      <c r="C385">
        <v>2120</v>
      </c>
      <c r="D385" t="s">
        <v>215</v>
      </c>
      <c r="E385" s="53">
        <v>41695</v>
      </c>
      <c r="F385" t="s">
        <v>212</v>
      </c>
    </row>
    <row r="386" spans="1:6" x14ac:dyDescent="0.3">
      <c r="A386" t="s">
        <v>246</v>
      </c>
      <c r="B386" t="s">
        <v>303</v>
      </c>
      <c r="C386">
        <v>2120</v>
      </c>
      <c r="D386" t="s">
        <v>230</v>
      </c>
      <c r="E386" s="53">
        <v>41961</v>
      </c>
      <c r="F386" t="s">
        <v>221</v>
      </c>
    </row>
    <row r="387" spans="1:6" x14ac:dyDescent="0.3">
      <c r="A387" t="s">
        <v>233</v>
      </c>
      <c r="B387" t="s">
        <v>250</v>
      </c>
      <c r="C387">
        <v>2124</v>
      </c>
      <c r="D387" t="s">
        <v>254</v>
      </c>
      <c r="E387" s="53">
        <v>42195</v>
      </c>
      <c r="F387" t="s">
        <v>228</v>
      </c>
    </row>
    <row r="388" spans="1:6" x14ac:dyDescent="0.3">
      <c r="A388" t="s">
        <v>223</v>
      </c>
      <c r="B388" t="s">
        <v>276</v>
      </c>
      <c r="C388">
        <v>2130</v>
      </c>
      <c r="D388" t="s">
        <v>225</v>
      </c>
      <c r="E388" s="53">
        <v>42298</v>
      </c>
      <c r="F388" t="s">
        <v>221</v>
      </c>
    </row>
    <row r="389" spans="1:6" x14ac:dyDescent="0.3">
      <c r="A389" t="s">
        <v>246</v>
      </c>
      <c r="B389" t="s">
        <v>247</v>
      </c>
      <c r="C389">
        <v>2134</v>
      </c>
      <c r="D389" t="s">
        <v>215</v>
      </c>
      <c r="E389" s="53">
        <v>42065</v>
      </c>
      <c r="F389" t="s">
        <v>212</v>
      </c>
    </row>
    <row r="390" spans="1:6" x14ac:dyDescent="0.3">
      <c r="A390" t="s">
        <v>209</v>
      </c>
      <c r="B390" t="s">
        <v>219</v>
      </c>
      <c r="C390">
        <v>2135</v>
      </c>
      <c r="D390" t="s">
        <v>218</v>
      </c>
      <c r="E390" s="53">
        <v>41841</v>
      </c>
      <c r="F390" t="s">
        <v>228</v>
      </c>
    </row>
    <row r="391" spans="1:6" x14ac:dyDescent="0.3">
      <c r="A391" t="s">
        <v>213</v>
      </c>
      <c r="B391" t="s">
        <v>299</v>
      </c>
      <c r="C391">
        <v>2138</v>
      </c>
      <c r="D391" t="s">
        <v>215</v>
      </c>
      <c r="E391" s="53">
        <v>42128</v>
      </c>
      <c r="F391" t="s">
        <v>216</v>
      </c>
    </row>
    <row r="392" spans="1:6" x14ac:dyDescent="0.3">
      <c r="A392" t="s">
        <v>223</v>
      </c>
      <c r="B392" t="s">
        <v>295</v>
      </c>
      <c r="C392">
        <v>2151</v>
      </c>
      <c r="D392" t="s">
        <v>230</v>
      </c>
      <c r="E392" s="53">
        <v>42100</v>
      </c>
      <c r="F392" t="s">
        <v>216</v>
      </c>
    </row>
    <row r="393" spans="1:6" x14ac:dyDescent="0.3">
      <c r="A393" t="s">
        <v>213</v>
      </c>
      <c r="B393" t="s">
        <v>299</v>
      </c>
      <c r="C393">
        <v>2152</v>
      </c>
      <c r="D393" t="s">
        <v>230</v>
      </c>
      <c r="E393" s="53">
        <v>42098</v>
      </c>
      <c r="F393" t="s">
        <v>216</v>
      </c>
    </row>
    <row r="394" spans="1:6" x14ac:dyDescent="0.3">
      <c r="A394" t="s">
        <v>233</v>
      </c>
      <c r="B394" t="s">
        <v>265</v>
      </c>
      <c r="C394">
        <v>2153</v>
      </c>
      <c r="D394" t="s">
        <v>220</v>
      </c>
      <c r="E394" s="53">
        <v>42233</v>
      </c>
      <c r="F394" t="s">
        <v>228</v>
      </c>
    </row>
    <row r="395" spans="1:6" x14ac:dyDescent="0.3">
      <c r="A395" t="s">
        <v>223</v>
      </c>
      <c r="B395" t="s">
        <v>273</v>
      </c>
      <c r="C395">
        <v>2157</v>
      </c>
      <c r="D395" t="s">
        <v>230</v>
      </c>
      <c r="E395" s="53">
        <v>42001</v>
      </c>
      <c r="F395" t="s">
        <v>221</v>
      </c>
    </row>
    <row r="396" spans="1:6" x14ac:dyDescent="0.3">
      <c r="A396" t="s">
        <v>209</v>
      </c>
      <c r="B396" t="s">
        <v>219</v>
      </c>
      <c r="C396">
        <v>2158</v>
      </c>
      <c r="D396" t="s">
        <v>215</v>
      </c>
      <c r="E396" s="53">
        <v>41885</v>
      </c>
      <c r="F396" t="s">
        <v>228</v>
      </c>
    </row>
    <row r="397" spans="1:6" x14ac:dyDescent="0.3">
      <c r="A397" t="s">
        <v>246</v>
      </c>
      <c r="B397" t="s">
        <v>247</v>
      </c>
      <c r="C397">
        <v>2177</v>
      </c>
      <c r="D397" t="s">
        <v>235</v>
      </c>
      <c r="E397" s="53">
        <v>42291</v>
      </c>
      <c r="F397" t="s">
        <v>221</v>
      </c>
    </row>
    <row r="398" spans="1:6" x14ac:dyDescent="0.3">
      <c r="A398" t="s">
        <v>213</v>
      </c>
      <c r="B398" t="s">
        <v>256</v>
      </c>
      <c r="C398">
        <v>2178</v>
      </c>
      <c r="D398" t="s">
        <v>230</v>
      </c>
      <c r="E398" s="53">
        <v>42165</v>
      </c>
      <c r="F398" t="s">
        <v>216</v>
      </c>
    </row>
    <row r="399" spans="1:6" x14ac:dyDescent="0.3">
      <c r="A399" t="s">
        <v>246</v>
      </c>
      <c r="B399" t="s">
        <v>287</v>
      </c>
      <c r="C399">
        <v>2178</v>
      </c>
      <c r="D399" t="s">
        <v>215</v>
      </c>
      <c r="E399" s="53">
        <v>41985</v>
      </c>
      <c r="F399" t="s">
        <v>221</v>
      </c>
    </row>
    <row r="400" spans="1:6" x14ac:dyDescent="0.3">
      <c r="A400" t="s">
        <v>236</v>
      </c>
      <c r="B400" t="s">
        <v>294</v>
      </c>
      <c r="C400">
        <v>2179</v>
      </c>
      <c r="D400" t="s">
        <v>230</v>
      </c>
      <c r="E400" s="53">
        <v>41990</v>
      </c>
      <c r="F400" t="s">
        <v>221</v>
      </c>
    </row>
    <row r="401" spans="1:6" x14ac:dyDescent="0.3">
      <c r="A401" t="s">
        <v>223</v>
      </c>
      <c r="B401" t="s">
        <v>280</v>
      </c>
      <c r="C401">
        <v>2180</v>
      </c>
      <c r="D401" t="s">
        <v>254</v>
      </c>
      <c r="E401" s="53">
        <v>42222</v>
      </c>
      <c r="F401" t="s">
        <v>228</v>
      </c>
    </row>
    <row r="402" spans="1:6" x14ac:dyDescent="0.3">
      <c r="A402" t="s">
        <v>236</v>
      </c>
      <c r="B402" t="s">
        <v>298</v>
      </c>
      <c r="C402">
        <v>2194</v>
      </c>
      <c r="D402" t="s">
        <v>222</v>
      </c>
      <c r="E402" s="53">
        <v>41692</v>
      </c>
      <c r="F402" t="s">
        <v>212</v>
      </c>
    </row>
    <row r="403" spans="1:6" x14ac:dyDescent="0.3">
      <c r="A403" t="s">
        <v>213</v>
      </c>
      <c r="B403" t="s">
        <v>278</v>
      </c>
      <c r="C403">
        <v>2196</v>
      </c>
      <c r="D403" t="s">
        <v>245</v>
      </c>
      <c r="E403" s="53">
        <v>41817</v>
      </c>
      <c r="F403" t="s">
        <v>216</v>
      </c>
    </row>
    <row r="404" spans="1:6" x14ac:dyDescent="0.3">
      <c r="A404" t="s">
        <v>209</v>
      </c>
      <c r="B404" t="s">
        <v>261</v>
      </c>
      <c r="C404">
        <v>2200</v>
      </c>
      <c r="D404" t="s">
        <v>222</v>
      </c>
      <c r="E404" s="53">
        <v>42020</v>
      </c>
      <c r="F404" t="s">
        <v>212</v>
      </c>
    </row>
    <row r="405" spans="1:6" x14ac:dyDescent="0.3">
      <c r="A405" t="s">
        <v>236</v>
      </c>
      <c r="B405" t="s">
        <v>286</v>
      </c>
      <c r="C405">
        <v>2203</v>
      </c>
      <c r="D405" t="s">
        <v>245</v>
      </c>
      <c r="E405" s="53">
        <v>42032</v>
      </c>
      <c r="F405" t="s">
        <v>212</v>
      </c>
    </row>
    <row r="406" spans="1:6" x14ac:dyDescent="0.3">
      <c r="A406" t="s">
        <v>213</v>
      </c>
      <c r="B406" t="s">
        <v>288</v>
      </c>
      <c r="C406">
        <v>2207</v>
      </c>
      <c r="D406" t="s">
        <v>218</v>
      </c>
      <c r="E406" s="53">
        <v>41717</v>
      </c>
      <c r="F406" t="s">
        <v>212</v>
      </c>
    </row>
    <row r="407" spans="1:6" x14ac:dyDescent="0.3">
      <c r="A407" t="s">
        <v>236</v>
      </c>
      <c r="B407" t="s">
        <v>253</v>
      </c>
      <c r="C407">
        <v>2211</v>
      </c>
      <c r="D407" t="s">
        <v>222</v>
      </c>
      <c r="E407" s="53">
        <v>41902</v>
      </c>
      <c r="F407" t="s">
        <v>228</v>
      </c>
    </row>
    <row r="408" spans="1:6" x14ac:dyDescent="0.3">
      <c r="A408" t="s">
        <v>223</v>
      </c>
      <c r="B408" t="s">
        <v>227</v>
      </c>
      <c r="C408">
        <v>2213</v>
      </c>
      <c r="D408" t="s">
        <v>215</v>
      </c>
      <c r="E408" s="53">
        <v>42179</v>
      </c>
      <c r="F408" t="s">
        <v>216</v>
      </c>
    </row>
    <row r="409" spans="1:6" x14ac:dyDescent="0.3">
      <c r="A409" t="s">
        <v>236</v>
      </c>
      <c r="B409" t="s">
        <v>308</v>
      </c>
      <c r="C409">
        <v>2214</v>
      </c>
      <c r="D409" t="s">
        <v>211</v>
      </c>
      <c r="E409" s="53">
        <v>42183</v>
      </c>
      <c r="F409" t="s">
        <v>216</v>
      </c>
    </row>
    <row r="410" spans="1:6" x14ac:dyDescent="0.3">
      <c r="A410" t="s">
        <v>213</v>
      </c>
      <c r="B410" t="s">
        <v>266</v>
      </c>
      <c r="C410">
        <v>2220</v>
      </c>
      <c r="D410" t="s">
        <v>235</v>
      </c>
      <c r="E410" s="53">
        <v>41724</v>
      </c>
      <c r="F410" t="s">
        <v>212</v>
      </c>
    </row>
    <row r="411" spans="1:6" x14ac:dyDescent="0.3">
      <c r="A411" t="s">
        <v>231</v>
      </c>
      <c r="B411" t="s">
        <v>306</v>
      </c>
      <c r="C411">
        <v>2221</v>
      </c>
      <c r="D411" t="s">
        <v>225</v>
      </c>
      <c r="E411" s="53">
        <v>41697</v>
      </c>
      <c r="F411" t="s">
        <v>212</v>
      </c>
    </row>
    <row r="412" spans="1:6" x14ac:dyDescent="0.3">
      <c r="A412" t="s">
        <v>209</v>
      </c>
      <c r="B412" t="s">
        <v>264</v>
      </c>
      <c r="C412">
        <v>2226</v>
      </c>
      <c r="D412" t="s">
        <v>215</v>
      </c>
      <c r="E412" s="53">
        <v>42330</v>
      </c>
      <c r="F412" t="s">
        <v>221</v>
      </c>
    </row>
    <row r="413" spans="1:6" x14ac:dyDescent="0.3">
      <c r="A413" t="s">
        <v>223</v>
      </c>
      <c r="B413" t="s">
        <v>259</v>
      </c>
      <c r="C413">
        <v>2227</v>
      </c>
      <c r="D413" t="s">
        <v>225</v>
      </c>
      <c r="E413" s="53">
        <v>42352</v>
      </c>
      <c r="F413" t="s">
        <v>221</v>
      </c>
    </row>
    <row r="414" spans="1:6" x14ac:dyDescent="0.3">
      <c r="A414" t="s">
        <v>233</v>
      </c>
      <c r="B414" t="s">
        <v>251</v>
      </c>
      <c r="C414">
        <v>2230</v>
      </c>
      <c r="D414" t="s">
        <v>215</v>
      </c>
      <c r="E414" s="53">
        <v>42040</v>
      </c>
      <c r="F414" t="s">
        <v>212</v>
      </c>
    </row>
    <row r="415" spans="1:6" x14ac:dyDescent="0.3">
      <c r="A415" t="s">
        <v>236</v>
      </c>
      <c r="B415" t="s">
        <v>308</v>
      </c>
      <c r="C415">
        <v>2230</v>
      </c>
      <c r="D415" t="s">
        <v>218</v>
      </c>
      <c r="E415" s="53">
        <v>42114</v>
      </c>
      <c r="F415" t="s">
        <v>216</v>
      </c>
    </row>
    <row r="416" spans="1:6" x14ac:dyDescent="0.3">
      <c r="A416" t="s">
        <v>213</v>
      </c>
      <c r="B416" t="s">
        <v>299</v>
      </c>
      <c r="C416">
        <v>2234</v>
      </c>
      <c r="D416" t="s">
        <v>245</v>
      </c>
      <c r="E416" s="53">
        <v>41809</v>
      </c>
      <c r="F416" t="s">
        <v>216</v>
      </c>
    </row>
    <row r="417" spans="1:6" x14ac:dyDescent="0.3">
      <c r="A417" t="s">
        <v>223</v>
      </c>
      <c r="B417" t="s">
        <v>224</v>
      </c>
      <c r="C417">
        <v>2235</v>
      </c>
      <c r="D417" t="s">
        <v>254</v>
      </c>
      <c r="E417" s="53">
        <v>42119</v>
      </c>
      <c r="F417" t="s">
        <v>216</v>
      </c>
    </row>
    <row r="418" spans="1:6" x14ac:dyDescent="0.3">
      <c r="A418" t="s">
        <v>213</v>
      </c>
      <c r="B418" t="s">
        <v>229</v>
      </c>
      <c r="C418">
        <v>2236</v>
      </c>
      <c r="D418" t="s">
        <v>222</v>
      </c>
      <c r="E418" s="53">
        <v>42063</v>
      </c>
      <c r="F418" t="s">
        <v>212</v>
      </c>
    </row>
    <row r="419" spans="1:6" x14ac:dyDescent="0.3">
      <c r="A419" t="s">
        <v>231</v>
      </c>
      <c r="B419" t="s">
        <v>271</v>
      </c>
      <c r="C419">
        <v>2236</v>
      </c>
      <c r="D419" t="s">
        <v>222</v>
      </c>
      <c r="E419" s="53">
        <v>42083</v>
      </c>
      <c r="F419" t="s">
        <v>212</v>
      </c>
    </row>
    <row r="420" spans="1:6" x14ac:dyDescent="0.3">
      <c r="A420" t="s">
        <v>236</v>
      </c>
      <c r="B420" t="s">
        <v>253</v>
      </c>
      <c r="C420">
        <v>2236</v>
      </c>
      <c r="D420" t="s">
        <v>222</v>
      </c>
      <c r="E420" s="53">
        <v>42146</v>
      </c>
      <c r="F420" t="s">
        <v>216</v>
      </c>
    </row>
    <row r="421" spans="1:6" x14ac:dyDescent="0.3">
      <c r="A421" t="s">
        <v>213</v>
      </c>
      <c r="B421" t="s">
        <v>256</v>
      </c>
      <c r="C421">
        <v>2239</v>
      </c>
      <c r="D421" t="s">
        <v>211</v>
      </c>
      <c r="E421" s="53">
        <v>42051</v>
      </c>
      <c r="F421" t="s">
        <v>212</v>
      </c>
    </row>
    <row r="422" spans="1:6" x14ac:dyDescent="0.3">
      <c r="A422" t="s">
        <v>233</v>
      </c>
      <c r="B422" t="s">
        <v>283</v>
      </c>
      <c r="C422">
        <v>2240</v>
      </c>
      <c r="D422" t="s">
        <v>218</v>
      </c>
      <c r="E422" s="53">
        <v>41734</v>
      </c>
      <c r="F422" t="s">
        <v>216</v>
      </c>
    </row>
    <row r="423" spans="1:6" x14ac:dyDescent="0.3">
      <c r="A423" t="s">
        <v>233</v>
      </c>
      <c r="B423" t="s">
        <v>281</v>
      </c>
      <c r="C423">
        <v>2245</v>
      </c>
      <c r="D423" t="s">
        <v>245</v>
      </c>
      <c r="E423" s="53">
        <v>42165</v>
      </c>
      <c r="F423" t="s">
        <v>216</v>
      </c>
    </row>
    <row r="424" spans="1:6" x14ac:dyDescent="0.3">
      <c r="A424" t="s">
        <v>233</v>
      </c>
      <c r="B424" t="s">
        <v>255</v>
      </c>
      <c r="C424">
        <v>2246</v>
      </c>
      <c r="D424" t="s">
        <v>230</v>
      </c>
      <c r="E424" s="53">
        <v>41685</v>
      </c>
      <c r="F424" t="s">
        <v>212</v>
      </c>
    </row>
    <row r="425" spans="1:6" x14ac:dyDescent="0.3">
      <c r="A425" t="s">
        <v>231</v>
      </c>
      <c r="B425" t="s">
        <v>306</v>
      </c>
      <c r="C425">
        <v>2246</v>
      </c>
      <c r="D425" t="s">
        <v>254</v>
      </c>
      <c r="E425" s="53">
        <v>41809</v>
      </c>
      <c r="F425" t="s">
        <v>216</v>
      </c>
    </row>
    <row r="426" spans="1:6" x14ac:dyDescent="0.3">
      <c r="A426" t="s">
        <v>213</v>
      </c>
      <c r="B426" t="s">
        <v>217</v>
      </c>
      <c r="C426">
        <v>2250</v>
      </c>
      <c r="D426" t="s">
        <v>225</v>
      </c>
      <c r="E426" s="53">
        <v>41723</v>
      </c>
      <c r="F426" t="s">
        <v>212</v>
      </c>
    </row>
    <row r="427" spans="1:6" x14ac:dyDescent="0.3">
      <c r="A427" t="s">
        <v>231</v>
      </c>
      <c r="B427" t="s">
        <v>275</v>
      </c>
      <c r="C427">
        <v>2251</v>
      </c>
      <c r="D427" t="s">
        <v>230</v>
      </c>
      <c r="E427" s="53">
        <v>41982</v>
      </c>
      <c r="F427" t="s">
        <v>221</v>
      </c>
    </row>
    <row r="428" spans="1:6" x14ac:dyDescent="0.3">
      <c r="A428" t="s">
        <v>213</v>
      </c>
      <c r="B428" t="s">
        <v>229</v>
      </c>
      <c r="C428">
        <v>2254</v>
      </c>
      <c r="D428" t="s">
        <v>220</v>
      </c>
      <c r="E428" s="53">
        <v>42165</v>
      </c>
      <c r="F428" t="s">
        <v>216</v>
      </c>
    </row>
    <row r="429" spans="1:6" x14ac:dyDescent="0.3">
      <c r="A429" t="s">
        <v>213</v>
      </c>
      <c r="B429" t="s">
        <v>278</v>
      </c>
      <c r="C429">
        <v>2260</v>
      </c>
      <c r="D429" t="s">
        <v>225</v>
      </c>
      <c r="E429" s="53">
        <v>41955</v>
      </c>
      <c r="F429" t="s">
        <v>221</v>
      </c>
    </row>
    <row r="430" spans="1:6" x14ac:dyDescent="0.3">
      <c r="A430" t="s">
        <v>233</v>
      </c>
      <c r="B430" t="s">
        <v>255</v>
      </c>
      <c r="C430">
        <v>2263</v>
      </c>
      <c r="D430" t="s">
        <v>245</v>
      </c>
      <c r="E430" s="53">
        <v>42066</v>
      </c>
      <c r="F430" t="s">
        <v>212</v>
      </c>
    </row>
    <row r="431" spans="1:6" x14ac:dyDescent="0.3">
      <c r="A431" t="s">
        <v>231</v>
      </c>
      <c r="B431" t="s">
        <v>289</v>
      </c>
      <c r="C431">
        <v>2266</v>
      </c>
      <c r="D431" t="s">
        <v>225</v>
      </c>
      <c r="E431" s="53">
        <v>41704</v>
      </c>
      <c r="F431" t="s">
        <v>212</v>
      </c>
    </row>
    <row r="432" spans="1:6" x14ac:dyDescent="0.3">
      <c r="A432" t="s">
        <v>209</v>
      </c>
      <c r="B432" t="s">
        <v>226</v>
      </c>
      <c r="C432">
        <v>2266</v>
      </c>
      <c r="D432" t="s">
        <v>254</v>
      </c>
      <c r="E432" s="53">
        <v>42151</v>
      </c>
      <c r="F432" t="s">
        <v>216</v>
      </c>
    </row>
    <row r="433" spans="1:6" x14ac:dyDescent="0.3">
      <c r="A433" t="s">
        <v>236</v>
      </c>
      <c r="B433" t="s">
        <v>294</v>
      </c>
      <c r="C433">
        <v>2266</v>
      </c>
      <c r="D433" t="s">
        <v>254</v>
      </c>
      <c r="E433" s="53">
        <v>42114</v>
      </c>
      <c r="F433" t="s">
        <v>216</v>
      </c>
    </row>
    <row r="434" spans="1:6" x14ac:dyDescent="0.3">
      <c r="A434" t="s">
        <v>233</v>
      </c>
      <c r="B434" t="s">
        <v>310</v>
      </c>
      <c r="C434">
        <v>2267</v>
      </c>
      <c r="D434" t="s">
        <v>218</v>
      </c>
      <c r="E434" s="53">
        <v>41840</v>
      </c>
      <c r="F434" t="s">
        <v>228</v>
      </c>
    </row>
    <row r="435" spans="1:6" x14ac:dyDescent="0.3">
      <c r="A435" t="s">
        <v>233</v>
      </c>
      <c r="B435" t="s">
        <v>260</v>
      </c>
      <c r="C435">
        <v>2275</v>
      </c>
      <c r="D435" t="s">
        <v>222</v>
      </c>
      <c r="E435" s="53">
        <v>41692</v>
      </c>
      <c r="F435" t="s">
        <v>212</v>
      </c>
    </row>
    <row r="436" spans="1:6" x14ac:dyDescent="0.3">
      <c r="A436" t="s">
        <v>233</v>
      </c>
      <c r="B436" t="s">
        <v>265</v>
      </c>
      <c r="C436">
        <v>2275</v>
      </c>
      <c r="D436" t="s">
        <v>215</v>
      </c>
      <c r="E436" s="53">
        <v>41673</v>
      </c>
      <c r="F436" t="s">
        <v>212</v>
      </c>
    </row>
    <row r="437" spans="1:6" x14ac:dyDescent="0.3">
      <c r="A437" t="s">
        <v>223</v>
      </c>
      <c r="B437" t="s">
        <v>249</v>
      </c>
      <c r="C437">
        <v>2283</v>
      </c>
      <c r="D437" t="s">
        <v>254</v>
      </c>
      <c r="E437" s="53">
        <v>42182</v>
      </c>
      <c r="F437" t="s">
        <v>216</v>
      </c>
    </row>
    <row r="438" spans="1:6" x14ac:dyDescent="0.3">
      <c r="A438" t="s">
        <v>236</v>
      </c>
      <c r="B438" t="s">
        <v>291</v>
      </c>
      <c r="C438">
        <v>2296</v>
      </c>
      <c r="D438" t="s">
        <v>218</v>
      </c>
      <c r="E438" s="53">
        <v>42324</v>
      </c>
      <c r="F438" t="s">
        <v>221</v>
      </c>
    </row>
    <row r="439" spans="1:6" x14ac:dyDescent="0.3">
      <c r="A439" t="s">
        <v>239</v>
      </c>
      <c r="B439" t="s">
        <v>240</v>
      </c>
      <c r="C439">
        <v>2297</v>
      </c>
      <c r="D439" t="s">
        <v>211</v>
      </c>
      <c r="E439" s="53">
        <v>42253</v>
      </c>
      <c r="F439" t="s">
        <v>228</v>
      </c>
    </row>
    <row r="440" spans="1:6" x14ac:dyDescent="0.3">
      <c r="A440" t="s">
        <v>233</v>
      </c>
      <c r="B440" t="s">
        <v>310</v>
      </c>
      <c r="C440">
        <v>2298</v>
      </c>
      <c r="D440" t="s">
        <v>235</v>
      </c>
      <c r="E440" s="53">
        <v>42165</v>
      </c>
      <c r="F440" t="s">
        <v>216</v>
      </c>
    </row>
    <row r="441" spans="1:6" x14ac:dyDescent="0.3">
      <c r="A441" t="s">
        <v>223</v>
      </c>
      <c r="B441" t="s">
        <v>295</v>
      </c>
      <c r="C441">
        <v>2299</v>
      </c>
      <c r="D441" t="s">
        <v>215</v>
      </c>
      <c r="E441" s="53">
        <v>42196</v>
      </c>
      <c r="F441" t="s">
        <v>228</v>
      </c>
    </row>
    <row r="442" spans="1:6" x14ac:dyDescent="0.3">
      <c r="A442" t="s">
        <v>231</v>
      </c>
      <c r="B442" t="s">
        <v>302</v>
      </c>
      <c r="C442">
        <v>2305</v>
      </c>
      <c r="D442" t="s">
        <v>211</v>
      </c>
      <c r="E442" s="53">
        <v>41644</v>
      </c>
      <c r="F442" t="s">
        <v>212</v>
      </c>
    </row>
    <row r="443" spans="1:6" x14ac:dyDescent="0.3">
      <c r="A443" t="s">
        <v>233</v>
      </c>
      <c r="B443" t="s">
        <v>248</v>
      </c>
      <c r="C443">
        <v>2311</v>
      </c>
      <c r="D443" t="s">
        <v>215</v>
      </c>
      <c r="E443" s="53">
        <v>42167</v>
      </c>
      <c r="F443" t="s">
        <v>216</v>
      </c>
    </row>
    <row r="444" spans="1:6" x14ac:dyDescent="0.3">
      <c r="A444" t="s">
        <v>223</v>
      </c>
      <c r="B444" t="s">
        <v>276</v>
      </c>
      <c r="C444">
        <v>2312</v>
      </c>
      <c r="D444" t="s">
        <v>220</v>
      </c>
      <c r="E444" s="53">
        <v>41753</v>
      </c>
      <c r="F444" t="s">
        <v>216</v>
      </c>
    </row>
    <row r="445" spans="1:6" x14ac:dyDescent="0.3">
      <c r="A445" t="s">
        <v>231</v>
      </c>
      <c r="B445" t="s">
        <v>279</v>
      </c>
      <c r="C445">
        <v>2313</v>
      </c>
      <c r="D445" t="s">
        <v>218</v>
      </c>
      <c r="E445" s="53">
        <v>42106</v>
      </c>
      <c r="F445" t="s">
        <v>216</v>
      </c>
    </row>
    <row r="446" spans="1:6" x14ac:dyDescent="0.3">
      <c r="A446" t="s">
        <v>223</v>
      </c>
      <c r="B446" t="s">
        <v>304</v>
      </c>
      <c r="C446">
        <v>2317</v>
      </c>
      <c r="D446" t="s">
        <v>254</v>
      </c>
      <c r="E446" s="53">
        <v>42119</v>
      </c>
      <c r="F446" t="s">
        <v>216</v>
      </c>
    </row>
    <row r="447" spans="1:6" x14ac:dyDescent="0.3">
      <c r="A447" t="s">
        <v>213</v>
      </c>
      <c r="B447" t="s">
        <v>214</v>
      </c>
      <c r="C447">
        <v>2323</v>
      </c>
      <c r="D447" t="s">
        <v>230</v>
      </c>
      <c r="E447" s="53">
        <v>41713</v>
      </c>
      <c r="F447" t="s">
        <v>212</v>
      </c>
    </row>
    <row r="448" spans="1:6" x14ac:dyDescent="0.3">
      <c r="A448" t="s">
        <v>209</v>
      </c>
      <c r="B448" t="s">
        <v>270</v>
      </c>
      <c r="C448">
        <v>2323</v>
      </c>
      <c r="D448" t="s">
        <v>218</v>
      </c>
      <c r="E448" s="53">
        <v>41757</v>
      </c>
      <c r="F448" t="s">
        <v>216</v>
      </c>
    </row>
    <row r="449" spans="1:6" x14ac:dyDescent="0.3">
      <c r="A449" t="s">
        <v>231</v>
      </c>
      <c r="B449" t="s">
        <v>309</v>
      </c>
      <c r="C449">
        <v>2326</v>
      </c>
      <c r="D449" t="s">
        <v>222</v>
      </c>
      <c r="E449" s="53">
        <v>41772</v>
      </c>
      <c r="F449" t="s">
        <v>216</v>
      </c>
    </row>
    <row r="450" spans="1:6" x14ac:dyDescent="0.3">
      <c r="A450" t="s">
        <v>223</v>
      </c>
      <c r="B450" t="s">
        <v>311</v>
      </c>
      <c r="C450">
        <v>2334</v>
      </c>
      <c r="D450" t="s">
        <v>222</v>
      </c>
      <c r="E450" s="53">
        <v>42319</v>
      </c>
      <c r="F450" t="s">
        <v>221</v>
      </c>
    </row>
    <row r="451" spans="1:6" x14ac:dyDescent="0.3">
      <c r="A451" t="s">
        <v>236</v>
      </c>
      <c r="B451" t="s">
        <v>296</v>
      </c>
      <c r="C451">
        <v>2337</v>
      </c>
      <c r="D451" t="s">
        <v>245</v>
      </c>
      <c r="E451" s="53">
        <v>42075</v>
      </c>
      <c r="F451" t="s">
        <v>212</v>
      </c>
    </row>
    <row r="452" spans="1:6" x14ac:dyDescent="0.3">
      <c r="A452" t="s">
        <v>236</v>
      </c>
      <c r="B452" t="s">
        <v>308</v>
      </c>
      <c r="C452">
        <v>2339</v>
      </c>
      <c r="D452" t="s">
        <v>254</v>
      </c>
      <c r="E452" s="53">
        <v>42139</v>
      </c>
      <c r="F452" t="s">
        <v>216</v>
      </c>
    </row>
    <row r="453" spans="1:6" x14ac:dyDescent="0.3">
      <c r="A453" t="s">
        <v>213</v>
      </c>
      <c r="B453" t="s">
        <v>278</v>
      </c>
      <c r="C453">
        <v>2339</v>
      </c>
      <c r="D453" t="s">
        <v>220</v>
      </c>
      <c r="E453" s="53">
        <v>41796</v>
      </c>
      <c r="F453" t="s">
        <v>216</v>
      </c>
    </row>
    <row r="454" spans="1:6" x14ac:dyDescent="0.3">
      <c r="A454" t="s">
        <v>246</v>
      </c>
      <c r="B454" t="s">
        <v>247</v>
      </c>
      <c r="C454">
        <v>2348</v>
      </c>
      <c r="D454" t="s">
        <v>254</v>
      </c>
      <c r="E454" s="53">
        <v>41934</v>
      </c>
      <c r="F454" t="s">
        <v>221</v>
      </c>
    </row>
    <row r="455" spans="1:6" x14ac:dyDescent="0.3">
      <c r="A455" t="s">
        <v>231</v>
      </c>
      <c r="B455" t="s">
        <v>257</v>
      </c>
      <c r="C455">
        <v>2355</v>
      </c>
      <c r="D455" t="s">
        <v>220</v>
      </c>
      <c r="E455" s="53">
        <v>41873</v>
      </c>
      <c r="F455" t="s">
        <v>228</v>
      </c>
    </row>
    <row r="456" spans="1:6" x14ac:dyDescent="0.3">
      <c r="A456" t="s">
        <v>213</v>
      </c>
      <c r="B456" t="s">
        <v>214</v>
      </c>
      <c r="C456">
        <v>2356</v>
      </c>
      <c r="D456" t="s">
        <v>220</v>
      </c>
      <c r="E456" s="53">
        <v>41784</v>
      </c>
      <c r="F456" t="s">
        <v>216</v>
      </c>
    </row>
    <row r="457" spans="1:6" x14ac:dyDescent="0.3">
      <c r="A457" t="s">
        <v>209</v>
      </c>
      <c r="B457" t="s">
        <v>219</v>
      </c>
      <c r="C457">
        <v>2357</v>
      </c>
      <c r="D457" t="s">
        <v>215</v>
      </c>
      <c r="E457" s="53">
        <v>42147</v>
      </c>
      <c r="F457" t="s">
        <v>216</v>
      </c>
    </row>
    <row r="458" spans="1:6" x14ac:dyDescent="0.3">
      <c r="A458" t="s">
        <v>209</v>
      </c>
      <c r="B458" t="s">
        <v>270</v>
      </c>
      <c r="C458">
        <v>2361</v>
      </c>
      <c r="D458" t="s">
        <v>254</v>
      </c>
      <c r="E458" s="53">
        <v>42282</v>
      </c>
      <c r="F458" t="s">
        <v>221</v>
      </c>
    </row>
    <row r="459" spans="1:6" x14ac:dyDescent="0.3">
      <c r="A459" t="s">
        <v>246</v>
      </c>
      <c r="B459" t="s">
        <v>287</v>
      </c>
      <c r="C459">
        <v>2368</v>
      </c>
      <c r="D459" t="s">
        <v>215</v>
      </c>
      <c r="E459" s="53">
        <v>41752</v>
      </c>
      <c r="F459" t="s">
        <v>216</v>
      </c>
    </row>
    <row r="460" spans="1:6" x14ac:dyDescent="0.3">
      <c r="A460" t="s">
        <v>231</v>
      </c>
      <c r="B460" t="s">
        <v>232</v>
      </c>
      <c r="C460">
        <v>2369</v>
      </c>
      <c r="D460" t="s">
        <v>220</v>
      </c>
      <c r="E460" s="53">
        <v>42258</v>
      </c>
      <c r="F460" t="s">
        <v>228</v>
      </c>
    </row>
    <row r="461" spans="1:6" x14ac:dyDescent="0.3">
      <c r="A461" t="s">
        <v>233</v>
      </c>
      <c r="B461" t="s">
        <v>250</v>
      </c>
      <c r="C461">
        <v>2370</v>
      </c>
      <c r="D461" t="s">
        <v>225</v>
      </c>
      <c r="E461" s="53">
        <v>42151</v>
      </c>
      <c r="F461" t="s">
        <v>216</v>
      </c>
    </row>
    <row r="462" spans="1:6" x14ac:dyDescent="0.3">
      <c r="A462" t="s">
        <v>233</v>
      </c>
      <c r="B462" t="s">
        <v>260</v>
      </c>
      <c r="C462">
        <v>2379</v>
      </c>
      <c r="D462" t="s">
        <v>225</v>
      </c>
      <c r="E462" s="53">
        <v>42036</v>
      </c>
      <c r="F462" t="s">
        <v>212</v>
      </c>
    </row>
    <row r="463" spans="1:6" x14ac:dyDescent="0.3">
      <c r="A463" t="s">
        <v>233</v>
      </c>
      <c r="B463" t="s">
        <v>260</v>
      </c>
      <c r="C463">
        <v>2383</v>
      </c>
      <c r="D463" t="s">
        <v>230</v>
      </c>
      <c r="E463" s="53">
        <v>41866</v>
      </c>
      <c r="F463" t="s">
        <v>228</v>
      </c>
    </row>
    <row r="464" spans="1:6" x14ac:dyDescent="0.3">
      <c r="A464" t="s">
        <v>239</v>
      </c>
      <c r="B464" t="s">
        <v>240</v>
      </c>
      <c r="C464">
        <v>2385</v>
      </c>
      <c r="D464" t="s">
        <v>225</v>
      </c>
      <c r="E464" s="53">
        <v>42180</v>
      </c>
      <c r="F464" t="s">
        <v>216</v>
      </c>
    </row>
    <row r="465" spans="1:6" x14ac:dyDescent="0.3">
      <c r="A465" t="s">
        <v>233</v>
      </c>
      <c r="B465" t="s">
        <v>265</v>
      </c>
      <c r="C465">
        <v>2388</v>
      </c>
      <c r="D465" t="s">
        <v>230</v>
      </c>
      <c r="E465" s="53">
        <v>41812</v>
      </c>
      <c r="F465" t="s">
        <v>216</v>
      </c>
    </row>
    <row r="466" spans="1:6" x14ac:dyDescent="0.3">
      <c r="A466" t="s">
        <v>246</v>
      </c>
      <c r="B466" t="s">
        <v>287</v>
      </c>
      <c r="C466">
        <v>2388</v>
      </c>
      <c r="D466" t="s">
        <v>230</v>
      </c>
      <c r="E466" s="53">
        <v>41793</v>
      </c>
      <c r="F466" t="s">
        <v>216</v>
      </c>
    </row>
    <row r="467" spans="1:6" x14ac:dyDescent="0.3">
      <c r="A467" t="s">
        <v>223</v>
      </c>
      <c r="B467" t="s">
        <v>263</v>
      </c>
      <c r="C467">
        <v>2390</v>
      </c>
      <c r="D467" t="s">
        <v>245</v>
      </c>
      <c r="E467" s="53">
        <v>41657</v>
      </c>
      <c r="F467" t="s">
        <v>212</v>
      </c>
    </row>
    <row r="468" spans="1:6" x14ac:dyDescent="0.3">
      <c r="A468" t="s">
        <v>223</v>
      </c>
      <c r="B468" t="s">
        <v>280</v>
      </c>
      <c r="C468">
        <v>2392</v>
      </c>
      <c r="D468" t="s">
        <v>235</v>
      </c>
      <c r="E468" s="53">
        <v>42227</v>
      </c>
      <c r="F468" t="s">
        <v>228</v>
      </c>
    </row>
    <row r="469" spans="1:6" x14ac:dyDescent="0.3">
      <c r="A469" t="s">
        <v>231</v>
      </c>
      <c r="B469" t="s">
        <v>271</v>
      </c>
      <c r="C469">
        <v>2401</v>
      </c>
      <c r="D469" t="s">
        <v>218</v>
      </c>
      <c r="E469" s="53">
        <v>41644</v>
      </c>
      <c r="F469" t="s">
        <v>212</v>
      </c>
    </row>
    <row r="470" spans="1:6" x14ac:dyDescent="0.3">
      <c r="A470" t="s">
        <v>223</v>
      </c>
      <c r="B470" t="s">
        <v>311</v>
      </c>
      <c r="C470">
        <v>2403</v>
      </c>
      <c r="D470" t="s">
        <v>220</v>
      </c>
      <c r="E470" s="53">
        <v>42302</v>
      </c>
      <c r="F470" t="s">
        <v>221</v>
      </c>
    </row>
    <row r="471" spans="1:6" x14ac:dyDescent="0.3">
      <c r="A471" t="s">
        <v>231</v>
      </c>
      <c r="B471" t="s">
        <v>279</v>
      </c>
      <c r="C471">
        <v>2405</v>
      </c>
      <c r="D471" t="s">
        <v>225</v>
      </c>
      <c r="E471" s="53">
        <v>42127</v>
      </c>
      <c r="F471" t="s">
        <v>216</v>
      </c>
    </row>
    <row r="472" spans="1:6" x14ac:dyDescent="0.3">
      <c r="A472" t="s">
        <v>233</v>
      </c>
      <c r="B472" t="s">
        <v>305</v>
      </c>
      <c r="C472">
        <v>2405</v>
      </c>
      <c r="D472" t="s">
        <v>222</v>
      </c>
      <c r="E472" s="53">
        <v>41891</v>
      </c>
      <c r="F472" t="s">
        <v>228</v>
      </c>
    </row>
    <row r="473" spans="1:6" x14ac:dyDescent="0.3">
      <c r="A473" t="s">
        <v>246</v>
      </c>
      <c r="B473" t="s">
        <v>301</v>
      </c>
      <c r="C473">
        <v>2416</v>
      </c>
      <c r="D473" t="s">
        <v>220</v>
      </c>
      <c r="E473" s="53">
        <v>41905</v>
      </c>
      <c r="F473" t="s">
        <v>228</v>
      </c>
    </row>
    <row r="474" spans="1:6" x14ac:dyDescent="0.3">
      <c r="A474" t="s">
        <v>223</v>
      </c>
      <c r="B474" t="s">
        <v>304</v>
      </c>
      <c r="C474">
        <v>2417</v>
      </c>
      <c r="D474" t="s">
        <v>218</v>
      </c>
      <c r="E474" s="53">
        <v>41872</v>
      </c>
      <c r="F474" t="s">
        <v>228</v>
      </c>
    </row>
    <row r="475" spans="1:6" x14ac:dyDescent="0.3">
      <c r="A475" t="s">
        <v>233</v>
      </c>
      <c r="B475" t="s">
        <v>310</v>
      </c>
      <c r="C475">
        <v>2418</v>
      </c>
      <c r="D475" t="s">
        <v>245</v>
      </c>
      <c r="E475" s="53">
        <v>42343</v>
      </c>
      <c r="F475" t="s">
        <v>221</v>
      </c>
    </row>
    <row r="476" spans="1:6" x14ac:dyDescent="0.3">
      <c r="A476" t="s">
        <v>213</v>
      </c>
      <c r="B476" t="s">
        <v>268</v>
      </c>
      <c r="C476">
        <v>2418</v>
      </c>
      <c r="D476" t="s">
        <v>215</v>
      </c>
      <c r="E476" s="53">
        <v>41921</v>
      </c>
      <c r="F476" t="s">
        <v>221</v>
      </c>
    </row>
    <row r="477" spans="1:6" x14ac:dyDescent="0.3">
      <c r="A477" t="s">
        <v>233</v>
      </c>
      <c r="B477" t="s">
        <v>283</v>
      </c>
      <c r="C477">
        <v>2426</v>
      </c>
      <c r="D477" t="s">
        <v>222</v>
      </c>
      <c r="E477" s="53">
        <v>42318</v>
      </c>
      <c r="F477" t="s">
        <v>221</v>
      </c>
    </row>
    <row r="478" spans="1:6" x14ac:dyDescent="0.3">
      <c r="A478" t="s">
        <v>233</v>
      </c>
      <c r="B478" t="s">
        <v>258</v>
      </c>
      <c r="C478">
        <v>2431</v>
      </c>
      <c r="D478" t="s">
        <v>245</v>
      </c>
      <c r="E478" s="53">
        <v>42229</v>
      </c>
      <c r="F478" t="s">
        <v>228</v>
      </c>
    </row>
    <row r="479" spans="1:6" x14ac:dyDescent="0.3">
      <c r="A479" t="s">
        <v>223</v>
      </c>
      <c r="B479" t="s">
        <v>273</v>
      </c>
      <c r="C479">
        <v>2433</v>
      </c>
      <c r="D479" t="s">
        <v>222</v>
      </c>
      <c r="E479" s="53">
        <v>41902</v>
      </c>
      <c r="F479" t="s">
        <v>228</v>
      </c>
    </row>
    <row r="480" spans="1:6" x14ac:dyDescent="0.3">
      <c r="A480" t="s">
        <v>213</v>
      </c>
      <c r="B480" t="s">
        <v>268</v>
      </c>
      <c r="C480">
        <v>2433</v>
      </c>
      <c r="D480" t="s">
        <v>225</v>
      </c>
      <c r="E480" s="53">
        <v>41926</v>
      </c>
      <c r="F480" t="s">
        <v>221</v>
      </c>
    </row>
    <row r="481" spans="1:6" x14ac:dyDescent="0.3">
      <c r="A481" t="s">
        <v>236</v>
      </c>
      <c r="B481" t="s">
        <v>300</v>
      </c>
      <c r="C481">
        <v>2435</v>
      </c>
      <c r="D481" t="s">
        <v>220</v>
      </c>
      <c r="E481" s="53">
        <v>41990</v>
      </c>
      <c r="F481" t="s">
        <v>221</v>
      </c>
    </row>
    <row r="482" spans="1:6" x14ac:dyDescent="0.3">
      <c r="A482" t="s">
        <v>233</v>
      </c>
      <c r="B482" t="s">
        <v>248</v>
      </c>
      <c r="C482">
        <v>2443</v>
      </c>
      <c r="D482" t="s">
        <v>254</v>
      </c>
      <c r="E482" s="53">
        <v>41926</v>
      </c>
      <c r="F482" t="s">
        <v>221</v>
      </c>
    </row>
    <row r="483" spans="1:6" x14ac:dyDescent="0.3">
      <c r="A483" t="s">
        <v>236</v>
      </c>
      <c r="B483" t="s">
        <v>253</v>
      </c>
      <c r="C483">
        <v>2445</v>
      </c>
      <c r="D483" t="s">
        <v>220</v>
      </c>
      <c r="E483" s="53">
        <v>42165</v>
      </c>
      <c r="F483" t="s">
        <v>216</v>
      </c>
    </row>
    <row r="484" spans="1:6" x14ac:dyDescent="0.3">
      <c r="A484" t="s">
        <v>223</v>
      </c>
      <c r="B484" t="s">
        <v>282</v>
      </c>
      <c r="C484">
        <v>2447</v>
      </c>
      <c r="D484" t="s">
        <v>254</v>
      </c>
      <c r="E484" s="53">
        <v>42097</v>
      </c>
      <c r="F484" t="s">
        <v>216</v>
      </c>
    </row>
    <row r="485" spans="1:6" x14ac:dyDescent="0.3">
      <c r="A485" t="s">
        <v>236</v>
      </c>
      <c r="B485" t="s">
        <v>253</v>
      </c>
      <c r="C485">
        <v>2448</v>
      </c>
      <c r="D485" t="s">
        <v>245</v>
      </c>
      <c r="E485" s="53">
        <v>41782</v>
      </c>
      <c r="F485" t="s">
        <v>216</v>
      </c>
    </row>
    <row r="486" spans="1:6" x14ac:dyDescent="0.3">
      <c r="A486" t="s">
        <v>233</v>
      </c>
      <c r="B486" t="s">
        <v>255</v>
      </c>
      <c r="C486">
        <v>2450</v>
      </c>
      <c r="D486" t="s">
        <v>225</v>
      </c>
      <c r="E486" s="53">
        <v>41646</v>
      </c>
      <c r="F486" t="s">
        <v>212</v>
      </c>
    </row>
    <row r="487" spans="1:6" x14ac:dyDescent="0.3">
      <c r="A487" t="s">
        <v>239</v>
      </c>
      <c r="B487" t="s">
        <v>243</v>
      </c>
      <c r="C487">
        <v>2451</v>
      </c>
      <c r="D487" t="s">
        <v>222</v>
      </c>
      <c r="E487" s="53">
        <v>41814</v>
      </c>
      <c r="F487" t="s">
        <v>216</v>
      </c>
    </row>
    <row r="488" spans="1:6" x14ac:dyDescent="0.3">
      <c r="A488" t="s">
        <v>236</v>
      </c>
      <c r="B488" t="s">
        <v>284</v>
      </c>
      <c r="C488">
        <v>2455</v>
      </c>
      <c r="D488" t="s">
        <v>222</v>
      </c>
      <c r="E488" s="53">
        <v>41756</v>
      </c>
      <c r="F488" t="s">
        <v>216</v>
      </c>
    </row>
    <row r="489" spans="1:6" x14ac:dyDescent="0.3">
      <c r="A489" t="s">
        <v>233</v>
      </c>
      <c r="B489" t="s">
        <v>258</v>
      </c>
      <c r="C489">
        <v>2457</v>
      </c>
      <c r="D489" t="s">
        <v>215</v>
      </c>
      <c r="E489" s="53">
        <v>41952</v>
      </c>
      <c r="F489" t="s">
        <v>221</v>
      </c>
    </row>
    <row r="490" spans="1:6" x14ac:dyDescent="0.3">
      <c r="A490" t="s">
        <v>233</v>
      </c>
      <c r="B490" t="s">
        <v>252</v>
      </c>
      <c r="C490">
        <v>2464</v>
      </c>
      <c r="D490" t="s">
        <v>215</v>
      </c>
      <c r="E490" s="53">
        <v>41646</v>
      </c>
      <c r="F490" t="s">
        <v>212</v>
      </c>
    </row>
    <row r="491" spans="1:6" x14ac:dyDescent="0.3">
      <c r="A491" t="s">
        <v>233</v>
      </c>
      <c r="B491" t="s">
        <v>260</v>
      </c>
      <c r="C491">
        <v>2465</v>
      </c>
      <c r="D491" t="s">
        <v>235</v>
      </c>
      <c r="E491" s="53">
        <v>41872</v>
      </c>
      <c r="F491" t="s">
        <v>228</v>
      </c>
    </row>
    <row r="492" spans="1:6" x14ac:dyDescent="0.3">
      <c r="A492" t="s">
        <v>223</v>
      </c>
      <c r="B492" t="s">
        <v>259</v>
      </c>
      <c r="C492">
        <v>2470</v>
      </c>
      <c r="D492" t="s">
        <v>220</v>
      </c>
      <c r="E492" s="53">
        <v>41953</v>
      </c>
      <c r="F492" t="s">
        <v>221</v>
      </c>
    </row>
    <row r="493" spans="1:6" x14ac:dyDescent="0.3">
      <c r="A493" t="s">
        <v>233</v>
      </c>
      <c r="B493" t="s">
        <v>250</v>
      </c>
      <c r="C493">
        <v>2471</v>
      </c>
      <c r="D493" t="s">
        <v>225</v>
      </c>
      <c r="E493" s="53">
        <v>42228</v>
      </c>
      <c r="F493" t="s">
        <v>228</v>
      </c>
    </row>
    <row r="494" spans="1:6" x14ac:dyDescent="0.3">
      <c r="A494" t="s">
        <v>231</v>
      </c>
      <c r="B494" t="s">
        <v>271</v>
      </c>
      <c r="C494">
        <v>2477</v>
      </c>
      <c r="D494" t="s">
        <v>245</v>
      </c>
      <c r="E494" s="53">
        <v>41737</v>
      </c>
      <c r="F494" t="s">
        <v>216</v>
      </c>
    </row>
    <row r="495" spans="1:6" x14ac:dyDescent="0.3">
      <c r="A495" t="s">
        <v>223</v>
      </c>
      <c r="B495" t="s">
        <v>259</v>
      </c>
      <c r="C495">
        <v>2484</v>
      </c>
      <c r="D495" t="s">
        <v>215</v>
      </c>
      <c r="E495" s="53">
        <v>41671</v>
      </c>
      <c r="F495" t="s">
        <v>212</v>
      </c>
    </row>
    <row r="496" spans="1:6" x14ac:dyDescent="0.3">
      <c r="A496" t="s">
        <v>233</v>
      </c>
      <c r="B496" t="s">
        <v>252</v>
      </c>
      <c r="C496">
        <v>2484</v>
      </c>
      <c r="D496" t="s">
        <v>211</v>
      </c>
      <c r="E496" s="53">
        <v>41784</v>
      </c>
      <c r="F496" t="s">
        <v>216</v>
      </c>
    </row>
    <row r="497" spans="1:6" x14ac:dyDescent="0.3">
      <c r="A497" t="s">
        <v>213</v>
      </c>
      <c r="B497" t="s">
        <v>229</v>
      </c>
      <c r="C497">
        <v>2485</v>
      </c>
      <c r="D497" t="s">
        <v>230</v>
      </c>
      <c r="E497" s="53">
        <v>42165</v>
      </c>
      <c r="F497" t="s">
        <v>216</v>
      </c>
    </row>
    <row r="498" spans="1:6" x14ac:dyDescent="0.3">
      <c r="A498" t="s">
        <v>233</v>
      </c>
      <c r="B498" t="s">
        <v>265</v>
      </c>
      <c r="C498">
        <v>2488</v>
      </c>
      <c r="D498" t="s">
        <v>211</v>
      </c>
      <c r="E498" s="53">
        <v>41711</v>
      </c>
      <c r="F498" t="s">
        <v>212</v>
      </c>
    </row>
    <row r="499" spans="1:6" x14ac:dyDescent="0.3">
      <c r="A499" t="s">
        <v>236</v>
      </c>
      <c r="B499" t="s">
        <v>291</v>
      </c>
      <c r="C499">
        <v>2488</v>
      </c>
      <c r="D499" t="s">
        <v>225</v>
      </c>
      <c r="E499" s="53">
        <v>42218</v>
      </c>
      <c r="F499" t="s">
        <v>228</v>
      </c>
    </row>
    <row r="500" spans="1:6" x14ac:dyDescent="0.3">
      <c r="A500" t="s">
        <v>246</v>
      </c>
      <c r="B500" t="s">
        <v>274</v>
      </c>
      <c r="C500">
        <v>2488</v>
      </c>
      <c r="D500" t="s">
        <v>211</v>
      </c>
      <c r="E500" s="53">
        <v>41939</v>
      </c>
      <c r="F500" t="s">
        <v>221</v>
      </c>
    </row>
    <row r="501" spans="1:6" x14ac:dyDescent="0.3">
      <c r="A501" t="s">
        <v>213</v>
      </c>
      <c r="B501" t="s">
        <v>288</v>
      </c>
      <c r="C501">
        <v>2493</v>
      </c>
      <c r="D501" t="s">
        <v>254</v>
      </c>
      <c r="E501" s="53">
        <v>42226</v>
      </c>
      <c r="F501" t="s">
        <v>228</v>
      </c>
    </row>
    <row r="502" spans="1:6" x14ac:dyDescent="0.3">
      <c r="A502" t="s">
        <v>223</v>
      </c>
      <c r="B502" t="s">
        <v>311</v>
      </c>
      <c r="C502">
        <v>2495</v>
      </c>
      <c r="D502" t="s">
        <v>211</v>
      </c>
      <c r="E502" s="53">
        <v>42143</v>
      </c>
      <c r="F502" t="s">
        <v>216</v>
      </c>
    </row>
    <row r="503" spans="1:6" x14ac:dyDescent="0.3">
      <c r="A503" t="s">
        <v>233</v>
      </c>
      <c r="B503" t="s">
        <v>250</v>
      </c>
      <c r="C503">
        <v>2503</v>
      </c>
      <c r="D503" t="s">
        <v>230</v>
      </c>
      <c r="E503" s="53">
        <v>42346</v>
      </c>
      <c r="F503" t="s">
        <v>221</v>
      </c>
    </row>
    <row r="504" spans="1:6" x14ac:dyDescent="0.3">
      <c r="A504" t="s">
        <v>233</v>
      </c>
      <c r="B504" t="s">
        <v>310</v>
      </c>
      <c r="C504">
        <v>2509</v>
      </c>
      <c r="D504" t="s">
        <v>230</v>
      </c>
      <c r="E504" s="53">
        <v>42149</v>
      </c>
      <c r="F504" t="s">
        <v>216</v>
      </c>
    </row>
    <row r="505" spans="1:6" x14ac:dyDescent="0.3">
      <c r="A505" t="s">
        <v>223</v>
      </c>
      <c r="B505" t="s">
        <v>311</v>
      </c>
      <c r="C505">
        <v>2514</v>
      </c>
      <c r="D505" t="s">
        <v>254</v>
      </c>
      <c r="E505" s="53">
        <v>41746</v>
      </c>
      <c r="F505" t="s">
        <v>216</v>
      </c>
    </row>
    <row r="506" spans="1:6" x14ac:dyDescent="0.3">
      <c r="A506" t="s">
        <v>223</v>
      </c>
      <c r="B506" t="s">
        <v>276</v>
      </c>
      <c r="C506">
        <v>2522</v>
      </c>
      <c r="D506" t="s">
        <v>225</v>
      </c>
      <c r="E506" s="53">
        <v>41814</v>
      </c>
      <c r="F506" t="s">
        <v>216</v>
      </c>
    </row>
    <row r="507" spans="1:6" x14ac:dyDescent="0.3">
      <c r="A507" t="s">
        <v>236</v>
      </c>
      <c r="B507" t="s">
        <v>298</v>
      </c>
      <c r="C507">
        <v>2524</v>
      </c>
      <c r="D507" t="s">
        <v>225</v>
      </c>
      <c r="E507" s="53">
        <v>41781</v>
      </c>
      <c r="F507" t="s">
        <v>216</v>
      </c>
    </row>
    <row r="508" spans="1:6" x14ac:dyDescent="0.3">
      <c r="A508" t="s">
        <v>233</v>
      </c>
      <c r="B508" t="s">
        <v>281</v>
      </c>
      <c r="C508">
        <v>2527</v>
      </c>
      <c r="D508" t="s">
        <v>254</v>
      </c>
      <c r="E508" s="53">
        <v>41916</v>
      </c>
      <c r="F508" t="s">
        <v>221</v>
      </c>
    </row>
    <row r="509" spans="1:6" x14ac:dyDescent="0.3">
      <c r="A509" t="s">
        <v>213</v>
      </c>
      <c r="B509" t="s">
        <v>299</v>
      </c>
      <c r="C509">
        <v>2528</v>
      </c>
      <c r="D509" t="s">
        <v>220</v>
      </c>
      <c r="E509" s="53">
        <v>42192</v>
      </c>
      <c r="F509" t="s">
        <v>228</v>
      </c>
    </row>
    <row r="510" spans="1:6" x14ac:dyDescent="0.3">
      <c r="A510" t="s">
        <v>239</v>
      </c>
      <c r="B510" t="s">
        <v>243</v>
      </c>
      <c r="C510">
        <v>2529</v>
      </c>
      <c r="D510" t="s">
        <v>211</v>
      </c>
      <c r="E510" s="53">
        <v>42137</v>
      </c>
      <c r="F510" t="s">
        <v>216</v>
      </c>
    </row>
    <row r="511" spans="1:6" x14ac:dyDescent="0.3">
      <c r="A511" t="s">
        <v>231</v>
      </c>
      <c r="B511" t="s">
        <v>257</v>
      </c>
      <c r="C511">
        <v>2532</v>
      </c>
      <c r="D511" t="s">
        <v>218</v>
      </c>
      <c r="E511" s="53">
        <v>41901</v>
      </c>
      <c r="F511" t="s">
        <v>228</v>
      </c>
    </row>
    <row r="512" spans="1:6" x14ac:dyDescent="0.3">
      <c r="A512" t="s">
        <v>239</v>
      </c>
      <c r="B512" t="s">
        <v>240</v>
      </c>
      <c r="C512">
        <v>2533</v>
      </c>
      <c r="D512" t="s">
        <v>220</v>
      </c>
      <c r="E512" s="53">
        <v>41776</v>
      </c>
      <c r="F512" t="s">
        <v>216</v>
      </c>
    </row>
    <row r="513" spans="1:6" x14ac:dyDescent="0.3">
      <c r="A513" t="s">
        <v>236</v>
      </c>
      <c r="B513" t="s">
        <v>291</v>
      </c>
      <c r="C513">
        <v>2544</v>
      </c>
      <c r="D513" t="s">
        <v>235</v>
      </c>
      <c r="E513" s="53">
        <v>42362</v>
      </c>
      <c r="F513" t="s">
        <v>221</v>
      </c>
    </row>
    <row r="514" spans="1:6" x14ac:dyDescent="0.3">
      <c r="A514" t="s">
        <v>213</v>
      </c>
      <c r="B514" t="s">
        <v>229</v>
      </c>
      <c r="C514">
        <v>2549</v>
      </c>
      <c r="D514" t="s">
        <v>218</v>
      </c>
      <c r="E514" s="53">
        <v>42356</v>
      </c>
      <c r="F514" t="s">
        <v>221</v>
      </c>
    </row>
    <row r="515" spans="1:6" x14ac:dyDescent="0.3">
      <c r="A515" t="s">
        <v>209</v>
      </c>
      <c r="B515" t="s">
        <v>210</v>
      </c>
      <c r="C515">
        <v>2552</v>
      </c>
      <c r="D515" t="s">
        <v>225</v>
      </c>
      <c r="E515" s="53">
        <v>42278</v>
      </c>
      <c r="F515" t="s">
        <v>221</v>
      </c>
    </row>
    <row r="516" spans="1:6" x14ac:dyDescent="0.3">
      <c r="A516" t="s">
        <v>209</v>
      </c>
      <c r="B516" t="s">
        <v>210</v>
      </c>
      <c r="C516">
        <v>2556</v>
      </c>
      <c r="D516" t="s">
        <v>218</v>
      </c>
      <c r="E516" s="53">
        <v>42150</v>
      </c>
      <c r="F516" t="s">
        <v>216</v>
      </c>
    </row>
    <row r="517" spans="1:6" x14ac:dyDescent="0.3">
      <c r="A517" t="s">
        <v>233</v>
      </c>
      <c r="B517" t="s">
        <v>250</v>
      </c>
      <c r="C517">
        <v>2558</v>
      </c>
      <c r="D517" t="s">
        <v>222</v>
      </c>
      <c r="E517" s="53">
        <v>41796</v>
      </c>
      <c r="F517" t="s">
        <v>216</v>
      </c>
    </row>
    <row r="518" spans="1:6" x14ac:dyDescent="0.3">
      <c r="A518" t="s">
        <v>231</v>
      </c>
      <c r="B518" t="s">
        <v>275</v>
      </c>
      <c r="C518">
        <v>2563</v>
      </c>
      <c r="D518" t="s">
        <v>218</v>
      </c>
      <c r="E518" s="53">
        <v>42271</v>
      </c>
      <c r="F518" t="s">
        <v>228</v>
      </c>
    </row>
    <row r="519" spans="1:6" x14ac:dyDescent="0.3">
      <c r="A519" t="s">
        <v>223</v>
      </c>
      <c r="B519" t="s">
        <v>241</v>
      </c>
      <c r="C519">
        <v>2566</v>
      </c>
      <c r="D519" t="s">
        <v>235</v>
      </c>
      <c r="E519" s="53">
        <v>42232</v>
      </c>
      <c r="F519" t="s">
        <v>228</v>
      </c>
    </row>
    <row r="520" spans="1:6" x14ac:dyDescent="0.3">
      <c r="A520" t="s">
        <v>233</v>
      </c>
      <c r="B520" t="s">
        <v>255</v>
      </c>
      <c r="C520">
        <v>2573</v>
      </c>
      <c r="D520" t="s">
        <v>215</v>
      </c>
      <c r="E520" s="53">
        <v>42134</v>
      </c>
      <c r="F520" t="s">
        <v>216</v>
      </c>
    </row>
    <row r="521" spans="1:6" x14ac:dyDescent="0.3">
      <c r="A521" t="s">
        <v>233</v>
      </c>
      <c r="B521" t="s">
        <v>255</v>
      </c>
      <c r="C521">
        <v>2574</v>
      </c>
      <c r="D521" t="s">
        <v>220</v>
      </c>
      <c r="E521" s="53">
        <v>41927</v>
      </c>
      <c r="F521" t="s">
        <v>221</v>
      </c>
    </row>
    <row r="522" spans="1:6" x14ac:dyDescent="0.3">
      <c r="A522" t="s">
        <v>209</v>
      </c>
      <c r="B522" t="s">
        <v>264</v>
      </c>
      <c r="C522">
        <v>2578</v>
      </c>
      <c r="D522" t="s">
        <v>222</v>
      </c>
      <c r="E522" s="53">
        <v>42171</v>
      </c>
      <c r="F522" t="s">
        <v>216</v>
      </c>
    </row>
    <row r="523" spans="1:6" x14ac:dyDescent="0.3">
      <c r="A523" t="s">
        <v>239</v>
      </c>
      <c r="B523" t="s">
        <v>272</v>
      </c>
      <c r="C523">
        <v>2586</v>
      </c>
      <c r="D523" t="s">
        <v>215</v>
      </c>
      <c r="E523" s="53">
        <v>41951</v>
      </c>
      <c r="F523" t="s">
        <v>221</v>
      </c>
    </row>
    <row r="524" spans="1:6" x14ac:dyDescent="0.3">
      <c r="A524" t="s">
        <v>233</v>
      </c>
      <c r="B524" t="s">
        <v>305</v>
      </c>
      <c r="C524">
        <v>2587</v>
      </c>
      <c r="D524" t="s">
        <v>230</v>
      </c>
      <c r="E524" s="53">
        <v>42160</v>
      </c>
      <c r="F524" t="s">
        <v>216</v>
      </c>
    </row>
    <row r="525" spans="1:6" x14ac:dyDescent="0.3">
      <c r="A525" t="s">
        <v>233</v>
      </c>
      <c r="B525" t="s">
        <v>310</v>
      </c>
      <c r="C525">
        <v>2589</v>
      </c>
      <c r="D525" t="s">
        <v>215</v>
      </c>
      <c r="E525" s="53">
        <v>42291</v>
      </c>
      <c r="F525" t="s">
        <v>221</v>
      </c>
    </row>
    <row r="526" spans="1:6" x14ac:dyDescent="0.3">
      <c r="A526" t="s">
        <v>231</v>
      </c>
      <c r="B526" t="s">
        <v>232</v>
      </c>
      <c r="C526">
        <v>2591</v>
      </c>
      <c r="D526" t="s">
        <v>225</v>
      </c>
      <c r="E526" s="53">
        <v>41740</v>
      </c>
      <c r="F526" t="s">
        <v>216</v>
      </c>
    </row>
    <row r="527" spans="1:6" x14ac:dyDescent="0.3">
      <c r="A527" t="s">
        <v>236</v>
      </c>
      <c r="B527" t="s">
        <v>300</v>
      </c>
      <c r="C527">
        <v>2603</v>
      </c>
      <c r="D527" t="s">
        <v>254</v>
      </c>
      <c r="E527" s="53">
        <v>42342</v>
      </c>
      <c r="F527" t="s">
        <v>221</v>
      </c>
    </row>
    <row r="528" spans="1:6" x14ac:dyDescent="0.3">
      <c r="A528" t="s">
        <v>209</v>
      </c>
      <c r="B528" t="s">
        <v>261</v>
      </c>
      <c r="C528">
        <v>2604</v>
      </c>
      <c r="D528" t="s">
        <v>222</v>
      </c>
      <c r="E528" s="53">
        <v>41967</v>
      </c>
      <c r="F528" t="s">
        <v>221</v>
      </c>
    </row>
    <row r="529" spans="1:6" x14ac:dyDescent="0.3">
      <c r="A529" t="s">
        <v>233</v>
      </c>
      <c r="B529" t="s">
        <v>252</v>
      </c>
      <c r="C529">
        <v>2606</v>
      </c>
      <c r="D529" t="s">
        <v>254</v>
      </c>
      <c r="E529" s="53">
        <v>41782</v>
      </c>
      <c r="F529" t="s">
        <v>216</v>
      </c>
    </row>
    <row r="530" spans="1:6" x14ac:dyDescent="0.3">
      <c r="A530" t="s">
        <v>213</v>
      </c>
      <c r="B530" t="s">
        <v>277</v>
      </c>
      <c r="C530">
        <v>2606</v>
      </c>
      <c r="D530" t="s">
        <v>220</v>
      </c>
      <c r="E530" s="53">
        <v>41874</v>
      </c>
      <c r="F530" t="s">
        <v>228</v>
      </c>
    </row>
    <row r="531" spans="1:6" x14ac:dyDescent="0.3">
      <c r="A531" t="s">
        <v>233</v>
      </c>
      <c r="B531" t="s">
        <v>281</v>
      </c>
      <c r="C531">
        <v>2612</v>
      </c>
      <c r="D531" t="s">
        <v>225</v>
      </c>
      <c r="E531" s="53">
        <v>41652</v>
      </c>
      <c r="F531" t="s">
        <v>212</v>
      </c>
    </row>
    <row r="532" spans="1:6" x14ac:dyDescent="0.3">
      <c r="A532" t="s">
        <v>209</v>
      </c>
      <c r="B532" t="s">
        <v>210</v>
      </c>
      <c r="C532">
        <v>2621</v>
      </c>
      <c r="D532" t="s">
        <v>222</v>
      </c>
      <c r="E532" s="53">
        <v>41923</v>
      </c>
      <c r="F532" t="s">
        <v>221</v>
      </c>
    </row>
    <row r="533" spans="1:6" x14ac:dyDescent="0.3">
      <c r="A533" t="s">
        <v>209</v>
      </c>
      <c r="B533" t="s">
        <v>242</v>
      </c>
      <c r="C533">
        <v>2623</v>
      </c>
      <c r="D533" t="s">
        <v>211</v>
      </c>
      <c r="E533" s="53">
        <v>42058</v>
      </c>
      <c r="F533" t="s">
        <v>212</v>
      </c>
    </row>
    <row r="534" spans="1:6" x14ac:dyDescent="0.3">
      <c r="A534" t="s">
        <v>236</v>
      </c>
      <c r="B534" t="s">
        <v>291</v>
      </c>
      <c r="C534">
        <v>2626</v>
      </c>
      <c r="D534" t="s">
        <v>245</v>
      </c>
      <c r="E534" s="53">
        <v>42208</v>
      </c>
      <c r="F534" t="s">
        <v>228</v>
      </c>
    </row>
    <row r="535" spans="1:6" x14ac:dyDescent="0.3">
      <c r="A535" t="s">
        <v>223</v>
      </c>
      <c r="B535" t="s">
        <v>241</v>
      </c>
      <c r="C535">
        <v>2629</v>
      </c>
      <c r="D535" t="s">
        <v>225</v>
      </c>
      <c r="E535" s="53">
        <v>41679</v>
      </c>
      <c r="F535" t="s">
        <v>212</v>
      </c>
    </row>
    <row r="536" spans="1:6" x14ac:dyDescent="0.3">
      <c r="A536" t="s">
        <v>223</v>
      </c>
      <c r="B536" t="s">
        <v>293</v>
      </c>
      <c r="C536">
        <v>2632</v>
      </c>
      <c r="D536" t="s">
        <v>254</v>
      </c>
      <c r="E536" s="53">
        <v>41971</v>
      </c>
      <c r="F536" t="s">
        <v>221</v>
      </c>
    </row>
    <row r="537" spans="1:6" x14ac:dyDescent="0.3">
      <c r="A537" t="s">
        <v>223</v>
      </c>
      <c r="B537" t="s">
        <v>273</v>
      </c>
      <c r="C537">
        <v>2632</v>
      </c>
      <c r="D537" t="s">
        <v>218</v>
      </c>
      <c r="E537" s="53">
        <v>42339</v>
      </c>
      <c r="F537" t="s">
        <v>221</v>
      </c>
    </row>
    <row r="538" spans="1:6" x14ac:dyDescent="0.3">
      <c r="A538" t="s">
        <v>223</v>
      </c>
      <c r="B538" t="s">
        <v>290</v>
      </c>
      <c r="C538">
        <v>2633</v>
      </c>
      <c r="D538" t="s">
        <v>222</v>
      </c>
      <c r="E538" s="53">
        <v>42137</v>
      </c>
      <c r="F538" t="s">
        <v>216</v>
      </c>
    </row>
    <row r="539" spans="1:6" x14ac:dyDescent="0.3">
      <c r="A539" t="s">
        <v>209</v>
      </c>
      <c r="B539" t="s">
        <v>297</v>
      </c>
      <c r="C539">
        <v>2638</v>
      </c>
      <c r="D539" t="s">
        <v>222</v>
      </c>
      <c r="E539" s="53">
        <v>41765</v>
      </c>
      <c r="F539" t="s">
        <v>216</v>
      </c>
    </row>
    <row r="540" spans="1:6" x14ac:dyDescent="0.3">
      <c r="A540" t="s">
        <v>236</v>
      </c>
      <c r="B540" t="s">
        <v>286</v>
      </c>
      <c r="C540">
        <v>2644</v>
      </c>
      <c r="D540" t="s">
        <v>245</v>
      </c>
      <c r="E540" s="53">
        <v>42166</v>
      </c>
      <c r="F540" t="s">
        <v>216</v>
      </c>
    </row>
    <row r="541" spans="1:6" x14ac:dyDescent="0.3">
      <c r="A541" t="s">
        <v>213</v>
      </c>
      <c r="B541" t="s">
        <v>278</v>
      </c>
      <c r="C541">
        <v>2645</v>
      </c>
      <c r="D541" t="s">
        <v>245</v>
      </c>
      <c r="E541" s="53">
        <v>41907</v>
      </c>
      <c r="F541" t="s">
        <v>228</v>
      </c>
    </row>
    <row r="542" spans="1:6" x14ac:dyDescent="0.3">
      <c r="A542" t="s">
        <v>246</v>
      </c>
      <c r="B542" t="s">
        <v>301</v>
      </c>
      <c r="C542">
        <v>2648</v>
      </c>
      <c r="D542" t="s">
        <v>245</v>
      </c>
      <c r="E542" s="53">
        <v>41998</v>
      </c>
      <c r="F542" t="s">
        <v>221</v>
      </c>
    </row>
    <row r="543" spans="1:6" x14ac:dyDescent="0.3">
      <c r="A543" t="s">
        <v>233</v>
      </c>
      <c r="B543" t="s">
        <v>255</v>
      </c>
      <c r="C543">
        <v>2650</v>
      </c>
      <c r="D543" t="s">
        <v>222</v>
      </c>
      <c r="E543" s="53">
        <v>41869</v>
      </c>
      <c r="F543" t="s">
        <v>228</v>
      </c>
    </row>
    <row r="544" spans="1:6" x14ac:dyDescent="0.3">
      <c r="A544" t="s">
        <v>239</v>
      </c>
      <c r="B544" t="s">
        <v>267</v>
      </c>
      <c r="C544">
        <v>2652</v>
      </c>
      <c r="D544" t="s">
        <v>254</v>
      </c>
      <c r="E544" s="53">
        <v>42017</v>
      </c>
      <c r="F544" t="s">
        <v>212</v>
      </c>
    </row>
    <row r="545" spans="1:6" x14ac:dyDescent="0.3">
      <c r="A545" t="s">
        <v>209</v>
      </c>
      <c r="B545" t="s">
        <v>226</v>
      </c>
      <c r="C545">
        <v>2652</v>
      </c>
      <c r="D545" t="s">
        <v>215</v>
      </c>
      <c r="E545" s="53">
        <v>41766</v>
      </c>
      <c r="F545" t="s">
        <v>216</v>
      </c>
    </row>
    <row r="546" spans="1:6" x14ac:dyDescent="0.3">
      <c r="A546" t="s">
        <v>231</v>
      </c>
      <c r="B546" t="s">
        <v>306</v>
      </c>
      <c r="C546">
        <v>2670</v>
      </c>
      <c r="D546" t="s">
        <v>215</v>
      </c>
      <c r="E546" s="53">
        <v>41810</v>
      </c>
      <c r="F546" t="s">
        <v>216</v>
      </c>
    </row>
    <row r="547" spans="1:6" x14ac:dyDescent="0.3">
      <c r="A547" t="s">
        <v>213</v>
      </c>
      <c r="B547" t="s">
        <v>256</v>
      </c>
      <c r="C547">
        <v>2674</v>
      </c>
      <c r="D547" t="s">
        <v>222</v>
      </c>
      <c r="E547" s="53">
        <v>41665</v>
      </c>
      <c r="F547" t="s">
        <v>212</v>
      </c>
    </row>
    <row r="548" spans="1:6" x14ac:dyDescent="0.3">
      <c r="A548" t="s">
        <v>233</v>
      </c>
      <c r="B548" t="s">
        <v>252</v>
      </c>
      <c r="C548">
        <v>2675</v>
      </c>
      <c r="D548" t="s">
        <v>235</v>
      </c>
      <c r="E548" s="53">
        <v>42043</v>
      </c>
      <c r="F548" t="s">
        <v>212</v>
      </c>
    </row>
    <row r="549" spans="1:6" x14ac:dyDescent="0.3">
      <c r="A549" t="s">
        <v>233</v>
      </c>
      <c r="B549" t="s">
        <v>252</v>
      </c>
      <c r="C549">
        <v>2685</v>
      </c>
      <c r="D549" t="s">
        <v>235</v>
      </c>
      <c r="E549" s="53">
        <v>42213</v>
      </c>
      <c r="F549" t="s">
        <v>228</v>
      </c>
    </row>
    <row r="550" spans="1:6" x14ac:dyDescent="0.3">
      <c r="A550" t="s">
        <v>223</v>
      </c>
      <c r="B550" t="s">
        <v>311</v>
      </c>
      <c r="C550">
        <v>2688</v>
      </c>
      <c r="D550" t="s">
        <v>245</v>
      </c>
      <c r="E550" s="53">
        <v>42202</v>
      </c>
      <c r="F550" t="s">
        <v>228</v>
      </c>
    </row>
    <row r="551" spans="1:6" x14ac:dyDescent="0.3">
      <c r="A551" t="s">
        <v>209</v>
      </c>
      <c r="B551" t="s">
        <v>297</v>
      </c>
      <c r="C551">
        <v>2689</v>
      </c>
      <c r="D551" t="s">
        <v>254</v>
      </c>
      <c r="E551" s="53">
        <v>42196</v>
      </c>
      <c r="F551" t="s">
        <v>228</v>
      </c>
    </row>
    <row r="552" spans="1:6" x14ac:dyDescent="0.3">
      <c r="A552" t="s">
        <v>209</v>
      </c>
      <c r="B552" t="s">
        <v>307</v>
      </c>
      <c r="C552">
        <v>2691</v>
      </c>
      <c r="D552" t="s">
        <v>254</v>
      </c>
      <c r="E552" s="53">
        <v>42165</v>
      </c>
      <c r="F552" t="s">
        <v>216</v>
      </c>
    </row>
    <row r="553" spans="1:6" x14ac:dyDescent="0.3">
      <c r="A553" t="s">
        <v>233</v>
      </c>
      <c r="B553" t="s">
        <v>285</v>
      </c>
      <c r="C553">
        <v>2691</v>
      </c>
      <c r="D553" t="s">
        <v>220</v>
      </c>
      <c r="E553" s="53">
        <v>41950</v>
      </c>
      <c r="F553" t="s">
        <v>221</v>
      </c>
    </row>
    <row r="554" spans="1:6" x14ac:dyDescent="0.3">
      <c r="A554" t="s">
        <v>236</v>
      </c>
      <c r="B554" t="s">
        <v>286</v>
      </c>
      <c r="C554">
        <v>2700</v>
      </c>
      <c r="D554" t="s">
        <v>230</v>
      </c>
      <c r="E554" s="53">
        <v>41925</v>
      </c>
      <c r="F554" t="s">
        <v>221</v>
      </c>
    </row>
    <row r="555" spans="1:6" x14ac:dyDescent="0.3">
      <c r="A555" t="s">
        <v>231</v>
      </c>
      <c r="B555" t="s">
        <v>279</v>
      </c>
      <c r="C555">
        <v>2702</v>
      </c>
      <c r="D555" t="s">
        <v>235</v>
      </c>
      <c r="E555" s="53">
        <v>41890</v>
      </c>
      <c r="F555" t="s">
        <v>228</v>
      </c>
    </row>
    <row r="556" spans="1:6" x14ac:dyDescent="0.3">
      <c r="A556" t="s">
        <v>236</v>
      </c>
      <c r="B556" t="s">
        <v>294</v>
      </c>
      <c r="C556">
        <v>2702</v>
      </c>
      <c r="D556" t="s">
        <v>254</v>
      </c>
      <c r="E556" s="53">
        <v>41951</v>
      </c>
      <c r="F556" t="s">
        <v>221</v>
      </c>
    </row>
    <row r="557" spans="1:6" x14ac:dyDescent="0.3">
      <c r="A557" t="s">
        <v>231</v>
      </c>
      <c r="B557" t="s">
        <v>306</v>
      </c>
      <c r="C557">
        <v>2705</v>
      </c>
      <c r="D557" t="s">
        <v>218</v>
      </c>
      <c r="E557" s="53">
        <v>42121</v>
      </c>
      <c r="F557" t="s">
        <v>216</v>
      </c>
    </row>
    <row r="558" spans="1:6" x14ac:dyDescent="0.3">
      <c r="A558" t="s">
        <v>231</v>
      </c>
      <c r="B558" t="s">
        <v>306</v>
      </c>
      <c r="C558">
        <v>2709</v>
      </c>
      <c r="D558" t="s">
        <v>230</v>
      </c>
      <c r="E558" s="53">
        <v>42339</v>
      </c>
      <c r="F558" t="s">
        <v>221</v>
      </c>
    </row>
    <row r="559" spans="1:6" x14ac:dyDescent="0.3">
      <c r="A559" t="s">
        <v>213</v>
      </c>
      <c r="B559" t="s">
        <v>266</v>
      </c>
      <c r="C559">
        <v>2710</v>
      </c>
      <c r="D559" t="s">
        <v>222</v>
      </c>
      <c r="E559" s="53">
        <v>41823</v>
      </c>
      <c r="F559" t="s">
        <v>228</v>
      </c>
    </row>
    <row r="560" spans="1:6" x14ac:dyDescent="0.3">
      <c r="A560" t="s">
        <v>209</v>
      </c>
      <c r="B560" t="s">
        <v>297</v>
      </c>
      <c r="C560">
        <v>2721</v>
      </c>
      <c r="D560" t="s">
        <v>222</v>
      </c>
      <c r="E560" s="53">
        <v>42266</v>
      </c>
      <c r="F560" t="s">
        <v>228</v>
      </c>
    </row>
    <row r="561" spans="1:6" x14ac:dyDescent="0.3">
      <c r="A561" t="s">
        <v>223</v>
      </c>
      <c r="B561" t="s">
        <v>304</v>
      </c>
      <c r="C561">
        <v>2723</v>
      </c>
      <c r="D561" t="s">
        <v>245</v>
      </c>
      <c r="E561" s="53">
        <v>41718</v>
      </c>
      <c r="F561" t="s">
        <v>212</v>
      </c>
    </row>
    <row r="562" spans="1:6" x14ac:dyDescent="0.3">
      <c r="A562" t="s">
        <v>209</v>
      </c>
      <c r="B562" t="s">
        <v>307</v>
      </c>
      <c r="C562">
        <v>2734</v>
      </c>
      <c r="D562" t="s">
        <v>220</v>
      </c>
      <c r="E562" s="53">
        <v>41782</v>
      </c>
      <c r="F562" t="s">
        <v>216</v>
      </c>
    </row>
    <row r="563" spans="1:6" x14ac:dyDescent="0.3">
      <c r="A563" t="s">
        <v>246</v>
      </c>
      <c r="B563" t="s">
        <v>262</v>
      </c>
      <c r="C563">
        <v>2738</v>
      </c>
      <c r="D563" t="s">
        <v>230</v>
      </c>
      <c r="E563" s="53">
        <v>42039</v>
      </c>
      <c r="F563" t="s">
        <v>212</v>
      </c>
    </row>
    <row r="564" spans="1:6" x14ac:dyDescent="0.3">
      <c r="A564" t="s">
        <v>209</v>
      </c>
      <c r="B564" t="s">
        <v>210</v>
      </c>
      <c r="C564">
        <v>2740</v>
      </c>
      <c r="D564" t="s">
        <v>218</v>
      </c>
      <c r="E564" s="53">
        <v>41966</v>
      </c>
      <c r="F564" t="s">
        <v>221</v>
      </c>
    </row>
    <row r="565" spans="1:6" x14ac:dyDescent="0.3">
      <c r="A565" t="s">
        <v>213</v>
      </c>
      <c r="B565" t="s">
        <v>217</v>
      </c>
      <c r="C565">
        <v>2740</v>
      </c>
      <c r="D565" t="s">
        <v>230</v>
      </c>
      <c r="E565" s="53">
        <v>42291</v>
      </c>
      <c r="F565" t="s">
        <v>221</v>
      </c>
    </row>
    <row r="566" spans="1:6" x14ac:dyDescent="0.3">
      <c r="A566" t="s">
        <v>246</v>
      </c>
      <c r="B566" t="s">
        <v>303</v>
      </c>
      <c r="C566">
        <v>2744</v>
      </c>
      <c r="D566" t="s">
        <v>254</v>
      </c>
      <c r="E566" s="53">
        <v>41812</v>
      </c>
      <c r="F566" t="s">
        <v>216</v>
      </c>
    </row>
    <row r="567" spans="1:6" x14ac:dyDescent="0.3">
      <c r="A567" t="s">
        <v>213</v>
      </c>
      <c r="B567" t="s">
        <v>299</v>
      </c>
      <c r="C567">
        <v>2748</v>
      </c>
      <c r="D567" t="s">
        <v>220</v>
      </c>
      <c r="E567" s="53">
        <v>42027</v>
      </c>
      <c r="F567" t="s">
        <v>212</v>
      </c>
    </row>
    <row r="568" spans="1:6" x14ac:dyDescent="0.3">
      <c r="A568" t="s">
        <v>231</v>
      </c>
      <c r="B568" t="s">
        <v>232</v>
      </c>
      <c r="C568">
        <v>2748</v>
      </c>
      <c r="D568" t="s">
        <v>218</v>
      </c>
      <c r="E568" s="53">
        <v>41838</v>
      </c>
      <c r="F568" t="s">
        <v>228</v>
      </c>
    </row>
    <row r="569" spans="1:6" x14ac:dyDescent="0.3">
      <c r="A569" t="s">
        <v>239</v>
      </c>
      <c r="B569" t="s">
        <v>243</v>
      </c>
      <c r="C569">
        <v>2750</v>
      </c>
      <c r="D569" t="s">
        <v>254</v>
      </c>
      <c r="E569" s="53">
        <v>41692</v>
      </c>
      <c r="F569" t="s">
        <v>212</v>
      </c>
    </row>
    <row r="570" spans="1:6" x14ac:dyDescent="0.3">
      <c r="A570" t="s">
        <v>233</v>
      </c>
      <c r="B570" t="s">
        <v>234</v>
      </c>
      <c r="C570">
        <v>2752</v>
      </c>
      <c r="D570" t="s">
        <v>215</v>
      </c>
      <c r="E570" s="53">
        <v>41753</v>
      </c>
      <c r="F570" t="s">
        <v>216</v>
      </c>
    </row>
    <row r="571" spans="1:6" x14ac:dyDescent="0.3">
      <c r="A571" t="s">
        <v>236</v>
      </c>
      <c r="B571" t="s">
        <v>298</v>
      </c>
      <c r="C571">
        <v>2754</v>
      </c>
      <c r="D571" t="s">
        <v>254</v>
      </c>
      <c r="E571" s="53">
        <v>42219</v>
      </c>
      <c r="F571" t="s">
        <v>228</v>
      </c>
    </row>
    <row r="572" spans="1:6" x14ac:dyDescent="0.3">
      <c r="A572" t="s">
        <v>236</v>
      </c>
      <c r="B572" t="s">
        <v>300</v>
      </c>
      <c r="C572">
        <v>2756</v>
      </c>
      <c r="D572" t="s">
        <v>245</v>
      </c>
      <c r="E572" s="53">
        <v>42058</v>
      </c>
      <c r="F572" t="s">
        <v>212</v>
      </c>
    </row>
    <row r="573" spans="1:6" x14ac:dyDescent="0.3">
      <c r="A573" t="s">
        <v>233</v>
      </c>
      <c r="B573" t="s">
        <v>252</v>
      </c>
      <c r="C573">
        <v>2759</v>
      </c>
      <c r="D573" t="s">
        <v>245</v>
      </c>
      <c r="E573" s="53">
        <v>41953</v>
      </c>
      <c r="F573" t="s">
        <v>221</v>
      </c>
    </row>
    <row r="574" spans="1:6" x14ac:dyDescent="0.3">
      <c r="A574" t="s">
        <v>236</v>
      </c>
      <c r="B574" t="s">
        <v>296</v>
      </c>
      <c r="C574">
        <v>2760</v>
      </c>
      <c r="D574" t="s">
        <v>254</v>
      </c>
      <c r="E574" s="53">
        <v>41732</v>
      </c>
      <c r="F574" t="s">
        <v>216</v>
      </c>
    </row>
    <row r="575" spans="1:6" x14ac:dyDescent="0.3">
      <c r="A575" t="s">
        <v>239</v>
      </c>
      <c r="B575" t="s">
        <v>240</v>
      </c>
      <c r="C575">
        <v>2761</v>
      </c>
      <c r="D575" t="s">
        <v>220</v>
      </c>
      <c r="E575" s="53">
        <v>42078</v>
      </c>
      <c r="F575" t="s">
        <v>212</v>
      </c>
    </row>
    <row r="576" spans="1:6" x14ac:dyDescent="0.3">
      <c r="A576" t="s">
        <v>209</v>
      </c>
      <c r="B576" t="s">
        <v>297</v>
      </c>
      <c r="C576">
        <v>2761</v>
      </c>
      <c r="D576" t="s">
        <v>254</v>
      </c>
      <c r="E576" s="53">
        <v>42321</v>
      </c>
      <c r="F576" t="s">
        <v>221</v>
      </c>
    </row>
    <row r="577" spans="1:6" x14ac:dyDescent="0.3">
      <c r="A577" t="s">
        <v>223</v>
      </c>
      <c r="B577" t="s">
        <v>290</v>
      </c>
      <c r="C577">
        <v>2762</v>
      </c>
      <c r="D577" t="s">
        <v>230</v>
      </c>
      <c r="E577" s="53">
        <v>42241</v>
      </c>
      <c r="F577" t="s">
        <v>228</v>
      </c>
    </row>
    <row r="578" spans="1:6" x14ac:dyDescent="0.3">
      <c r="A578" t="s">
        <v>223</v>
      </c>
      <c r="B578" t="s">
        <v>227</v>
      </c>
      <c r="C578">
        <v>2763</v>
      </c>
      <c r="D578" t="s">
        <v>225</v>
      </c>
      <c r="E578" s="53">
        <v>41839</v>
      </c>
      <c r="F578" t="s">
        <v>228</v>
      </c>
    </row>
    <row r="579" spans="1:6" x14ac:dyDescent="0.3">
      <c r="A579" t="s">
        <v>233</v>
      </c>
      <c r="B579" t="s">
        <v>248</v>
      </c>
      <c r="C579">
        <v>2764</v>
      </c>
      <c r="D579" t="s">
        <v>215</v>
      </c>
      <c r="E579" s="53">
        <v>41892</v>
      </c>
      <c r="F579" t="s">
        <v>228</v>
      </c>
    </row>
    <row r="580" spans="1:6" x14ac:dyDescent="0.3">
      <c r="A580" t="s">
        <v>233</v>
      </c>
      <c r="B580" t="s">
        <v>283</v>
      </c>
      <c r="C580">
        <v>2772</v>
      </c>
      <c r="D580" t="s">
        <v>211</v>
      </c>
      <c r="E580" s="53">
        <v>41749</v>
      </c>
      <c r="F580" t="s">
        <v>216</v>
      </c>
    </row>
    <row r="581" spans="1:6" x14ac:dyDescent="0.3">
      <c r="A581" t="s">
        <v>233</v>
      </c>
      <c r="B581" t="s">
        <v>255</v>
      </c>
      <c r="C581">
        <v>2777</v>
      </c>
      <c r="D581" t="s">
        <v>211</v>
      </c>
      <c r="E581" s="53">
        <v>41976</v>
      </c>
      <c r="F581" t="s">
        <v>221</v>
      </c>
    </row>
    <row r="582" spans="1:6" x14ac:dyDescent="0.3">
      <c r="A582" t="s">
        <v>223</v>
      </c>
      <c r="B582" t="s">
        <v>290</v>
      </c>
      <c r="C582">
        <v>2781</v>
      </c>
      <c r="D582" t="s">
        <v>225</v>
      </c>
      <c r="E582" s="53">
        <v>42212</v>
      </c>
      <c r="F582" t="s">
        <v>228</v>
      </c>
    </row>
    <row r="583" spans="1:6" x14ac:dyDescent="0.3">
      <c r="A583" t="s">
        <v>246</v>
      </c>
      <c r="B583" t="s">
        <v>262</v>
      </c>
      <c r="C583">
        <v>2783</v>
      </c>
      <c r="D583" t="s">
        <v>211</v>
      </c>
      <c r="E583" s="53">
        <v>42082</v>
      </c>
      <c r="F583" t="s">
        <v>212</v>
      </c>
    </row>
    <row r="584" spans="1:6" x14ac:dyDescent="0.3">
      <c r="A584" t="s">
        <v>223</v>
      </c>
      <c r="B584" t="s">
        <v>293</v>
      </c>
      <c r="C584">
        <v>2785</v>
      </c>
      <c r="D584" t="s">
        <v>220</v>
      </c>
      <c r="E584" s="53">
        <v>42024</v>
      </c>
      <c r="F584" t="s">
        <v>212</v>
      </c>
    </row>
    <row r="585" spans="1:6" x14ac:dyDescent="0.3">
      <c r="A585" t="s">
        <v>223</v>
      </c>
      <c r="B585" t="s">
        <v>227</v>
      </c>
      <c r="C585">
        <v>2796</v>
      </c>
      <c r="D585" t="s">
        <v>230</v>
      </c>
      <c r="E585" s="53">
        <v>41808</v>
      </c>
      <c r="F585" t="s">
        <v>216</v>
      </c>
    </row>
    <row r="586" spans="1:6" x14ac:dyDescent="0.3">
      <c r="A586" t="s">
        <v>209</v>
      </c>
      <c r="B586" t="s">
        <v>261</v>
      </c>
      <c r="C586">
        <v>2797</v>
      </c>
      <c r="D586" t="s">
        <v>225</v>
      </c>
      <c r="E586" s="53">
        <v>41761</v>
      </c>
      <c r="F586" t="s">
        <v>216</v>
      </c>
    </row>
    <row r="587" spans="1:6" x14ac:dyDescent="0.3">
      <c r="A587" t="s">
        <v>213</v>
      </c>
      <c r="B587" t="s">
        <v>256</v>
      </c>
      <c r="C587">
        <v>2801</v>
      </c>
      <c r="D587" t="s">
        <v>254</v>
      </c>
      <c r="E587" s="53">
        <v>42178</v>
      </c>
      <c r="F587" t="s">
        <v>216</v>
      </c>
    </row>
    <row r="588" spans="1:6" x14ac:dyDescent="0.3">
      <c r="A588" t="s">
        <v>231</v>
      </c>
      <c r="B588" t="s">
        <v>271</v>
      </c>
      <c r="C588">
        <v>2806</v>
      </c>
      <c r="D588" t="s">
        <v>235</v>
      </c>
      <c r="E588" s="53">
        <v>42042</v>
      </c>
      <c r="F588" t="s">
        <v>212</v>
      </c>
    </row>
    <row r="589" spans="1:6" x14ac:dyDescent="0.3">
      <c r="A589" t="s">
        <v>233</v>
      </c>
      <c r="B589" t="s">
        <v>260</v>
      </c>
      <c r="C589">
        <v>2818</v>
      </c>
      <c r="D589" t="s">
        <v>230</v>
      </c>
      <c r="E589" s="53">
        <v>41837</v>
      </c>
      <c r="F589" t="s">
        <v>228</v>
      </c>
    </row>
    <row r="590" spans="1:6" x14ac:dyDescent="0.3">
      <c r="A590" t="s">
        <v>239</v>
      </c>
      <c r="B590" t="s">
        <v>269</v>
      </c>
      <c r="C590">
        <v>2822</v>
      </c>
      <c r="D590" t="s">
        <v>230</v>
      </c>
      <c r="E590" s="53">
        <v>41857</v>
      </c>
      <c r="F590" t="s">
        <v>228</v>
      </c>
    </row>
    <row r="591" spans="1:6" x14ac:dyDescent="0.3">
      <c r="A591" t="s">
        <v>233</v>
      </c>
      <c r="B591" t="s">
        <v>258</v>
      </c>
      <c r="C591">
        <v>2824</v>
      </c>
      <c r="D591" t="s">
        <v>211</v>
      </c>
      <c r="E591" s="53">
        <v>42264</v>
      </c>
      <c r="F591" t="s">
        <v>228</v>
      </c>
    </row>
    <row r="592" spans="1:6" x14ac:dyDescent="0.3">
      <c r="A592" t="s">
        <v>239</v>
      </c>
      <c r="B592" t="s">
        <v>269</v>
      </c>
      <c r="C592">
        <v>2828</v>
      </c>
      <c r="D592" t="s">
        <v>254</v>
      </c>
      <c r="E592" s="53">
        <v>41872</v>
      </c>
      <c r="F592" t="s">
        <v>228</v>
      </c>
    </row>
    <row r="593" spans="1:6" x14ac:dyDescent="0.3">
      <c r="A593" t="s">
        <v>233</v>
      </c>
      <c r="B593" t="s">
        <v>281</v>
      </c>
      <c r="C593">
        <v>2845</v>
      </c>
      <c r="D593" t="s">
        <v>218</v>
      </c>
      <c r="E593" s="53">
        <v>42080</v>
      </c>
      <c r="F593" t="s">
        <v>212</v>
      </c>
    </row>
    <row r="594" spans="1:6" x14ac:dyDescent="0.3">
      <c r="A594" t="s">
        <v>236</v>
      </c>
      <c r="B594" t="s">
        <v>308</v>
      </c>
      <c r="C594">
        <v>2848</v>
      </c>
      <c r="D594" t="s">
        <v>222</v>
      </c>
      <c r="E594" s="53">
        <v>41918</v>
      </c>
      <c r="F594" t="s">
        <v>221</v>
      </c>
    </row>
    <row r="595" spans="1:6" x14ac:dyDescent="0.3">
      <c r="A595" t="s">
        <v>209</v>
      </c>
      <c r="B595" t="s">
        <v>219</v>
      </c>
      <c r="C595">
        <v>2849</v>
      </c>
      <c r="D595" t="s">
        <v>220</v>
      </c>
      <c r="E595" s="53">
        <v>41816</v>
      </c>
      <c r="F595" t="s">
        <v>216</v>
      </c>
    </row>
    <row r="596" spans="1:6" x14ac:dyDescent="0.3">
      <c r="A596" t="s">
        <v>233</v>
      </c>
      <c r="B596" t="s">
        <v>252</v>
      </c>
      <c r="C596">
        <v>2849</v>
      </c>
      <c r="D596" t="s">
        <v>220</v>
      </c>
      <c r="E596" s="53">
        <v>41918</v>
      </c>
      <c r="F596" t="s">
        <v>221</v>
      </c>
    </row>
    <row r="597" spans="1:6" x14ac:dyDescent="0.3">
      <c r="A597" t="s">
        <v>223</v>
      </c>
      <c r="B597" t="s">
        <v>227</v>
      </c>
      <c r="C597">
        <v>2853</v>
      </c>
      <c r="D597" t="s">
        <v>222</v>
      </c>
      <c r="E597" s="53">
        <v>41795</v>
      </c>
      <c r="F597" t="s">
        <v>216</v>
      </c>
    </row>
    <row r="598" spans="1:6" x14ac:dyDescent="0.3">
      <c r="A598" t="s">
        <v>246</v>
      </c>
      <c r="B598" t="s">
        <v>247</v>
      </c>
      <c r="C598">
        <v>2861</v>
      </c>
      <c r="D598" t="s">
        <v>235</v>
      </c>
      <c r="E598" s="53">
        <v>42259</v>
      </c>
      <c r="F598" t="s">
        <v>228</v>
      </c>
    </row>
    <row r="599" spans="1:6" x14ac:dyDescent="0.3">
      <c r="A599" t="s">
        <v>223</v>
      </c>
      <c r="B599" t="s">
        <v>224</v>
      </c>
      <c r="C599">
        <v>2869</v>
      </c>
      <c r="D599" t="s">
        <v>218</v>
      </c>
      <c r="E599" s="53">
        <v>42145</v>
      </c>
      <c r="F599" t="s">
        <v>216</v>
      </c>
    </row>
    <row r="600" spans="1:6" x14ac:dyDescent="0.3">
      <c r="A600" t="s">
        <v>236</v>
      </c>
      <c r="B600" t="s">
        <v>300</v>
      </c>
      <c r="C600">
        <v>2878</v>
      </c>
      <c r="D600" t="s">
        <v>215</v>
      </c>
      <c r="E600" s="53">
        <v>42208</v>
      </c>
      <c r="F600" t="s">
        <v>228</v>
      </c>
    </row>
    <row r="601" spans="1:6" x14ac:dyDescent="0.3">
      <c r="A601" t="s">
        <v>246</v>
      </c>
      <c r="B601" t="s">
        <v>262</v>
      </c>
      <c r="C601">
        <v>2889</v>
      </c>
      <c r="D601" t="s">
        <v>235</v>
      </c>
      <c r="E601" s="53">
        <v>41866</v>
      </c>
      <c r="F601" t="s">
        <v>228</v>
      </c>
    </row>
    <row r="602" spans="1:6" x14ac:dyDescent="0.3">
      <c r="A602" t="s">
        <v>223</v>
      </c>
      <c r="B602" t="s">
        <v>282</v>
      </c>
      <c r="C602">
        <v>2893</v>
      </c>
      <c r="D602" t="s">
        <v>211</v>
      </c>
      <c r="E602" s="53">
        <v>42115</v>
      </c>
      <c r="F602" t="s">
        <v>216</v>
      </c>
    </row>
    <row r="603" spans="1:6" x14ac:dyDescent="0.3">
      <c r="A603" t="s">
        <v>223</v>
      </c>
      <c r="B603" t="s">
        <v>249</v>
      </c>
      <c r="C603">
        <v>2895</v>
      </c>
      <c r="D603" t="s">
        <v>225</v>
      </c>
      <c r="E603" s="53">
        <v>41798</v>
      </c>
      <c r="F603" t="s">
        <v>216</v>
      </c>
    </row>
    <row r="604" spans="1:6" x14ac:dyDescent="0.3">
      <c r="A604" t="s">
        <v>223</v>
      </c>
      <c r="B604" t="s">
        <v>293</v>
      </c>
      <c r="C604">
        <v>2903</v>
      </c>
      <c r="D604" t="s">
        <v>230</v>
      </c>
      <c r="E604" s="53">
        <v>41915</v>
      </c>
      <c r="F604" t="s">
        <v>221</v>
      </c>
    </row>
    <row r="605" spans="1:6" x14ac:dyDescent="0.3">
      <c r="A605" t="s">
        <v>209</v>
      </c>
      <c r="B605" t="s">
        <v>297</v>
      </c>
      <c r="C605">
        <v>2908</v>
      </c>
      <c r="D605" t="s">
        <v>235</v>
      </c>
      <c r="E605" s="53">
        <v>42282</v>
      </c>
      <c r="F605" t="s">
        <v>221</v>
      </c>
    </row>
    <row r="606" spans="1:6" x14ac:dyDescent="0.3">
      <c r="A606" t="s">
        <v>236</v>
      </c>
      <c r="B606" t="s">
        <v>253</v>
      </c>
      <c r="C606">
        <v>2913</v>
      </c>
      <c r="D606" t="s">
        <v>222</v>
      </c>
      <c r="E606" s="53">
        <v>41832</v>
      </c>
      <c r="F606" t="s">
        <v>228</v>
      </c>
    </row>
    <row r="607" spans="1:6" x14ac:dyDescent="0.3">
      <c r="A607" t="s">
        <v>223</v>
      </c>
      <c r="B607" t="s">
        <v>290</v>
      </c>
      <c r="C607">
        <v>2919</v>
      </c>
      <c r="D607" t="s">
        <v>235</v>
      </c>
      <c r="E607" s="53">
        <v>41657</v>
      </c>
      <c r="F607" t="s">
        <v>212</v>
      </c>
    </row>
    <row r="608" spans="1:6" x14ac:dyDescent="0.3">
      <c r="A608" t="s">
        <v>233</v>
      </c>
      <c r="B608" t="s">
        <v>285</v>
      </c>
      <c r="C608">
        <v>2925</v>
      </c>
      <c r="D608" t="s">
        <v>245</v>
      </c>
      <c r="E608" s="53">
        <v>42161</v>
      </c>
      <c r="F608" t="s">
        <v>216</v>
      </c>
    </row>
    <row r="609" spans="1:6" x14ac:dyDescent="0.3">
      <c r="A609" t="s">
        <v>209</v>
      </c>
      <c r="B609" t="s">
        <v>270</v>
      </c>
      <c r="C609">
        <v>2931</v>
      </c>
      <c r="D609" t="s">
        <v>230</v>
      </c>
      <c r="E609" s="53">
        <v>41801</v>
      </c>
      <c r="F609" t="s">
        <v>216</v>
      </c>
    </row>
    <row r="610" spans="1:6" x14ac:dyDescent="0.3">
      <c r="A610" t="s">
        <v>233</v>
      </c>
      <c r="B610" t="s">
        <v>281</v>
      </c>
      <c r="C610">
        <v>2934</v>
      </c>
      <c r="D610" t="s">
        <v>230</v>
      </c>
      <c r="E610" s="53">
        <v>42347</v>
      </c>
      <c r="F610" t="s">
        <v>221</v>
      </c>
    </row>
    <row r="611" spans="1:6" x14ac:dyDescent="0.3">
      <c r="A611" t="s">
        <v>246</v>
      </c>
      <c r="B611" t="s">
        <v>274</v>
      </c>
      <c r="C611">
        <v>2936</v>
      </c>
      <c r="D611" t="s">
        <v>235</v>
      </c>
      <c r="E611" s="53">
        <v>42008</v>
      </c>
      <c r="F611" t="s">
        <v>212</v>
      </c>
    </row>
    <row r="612" spans="1:6" x14ac:dyDescent="0.3">
      <c r="A612" t="s">
        <v>231</v>
      </c>
      <c r="B612" t="s">
        <v>302</v>
      </c>
      <c r="C612">
        <v>2936</v>
      </c>
      <c r="D612" t="s">
        <v>245</v>
      </c>
      <c r="E612" s="53">
        <v>41761</v>
      </c>
      <c r="F612" t="s">
        <v>216</v>
      </c>
    </row>
    <row r="613" spans="1:6" x14ac:dyDescent="0.3">
      <c r="A613" t="s">
        <v>213</v>
      </c>
      <c r="B613" t="s">
        <v>217</v>
      </c>
      <c r="C613">
        <v>2938</v>
      </c>
      <c r="D613" t="s">
        <v>218</v>
      </c>
      <c r="E613" s="53">
        <v>42027</v>
      </c>
      <c r="F613" t="s">
        <v>212</v>
      </c>
    </row>
    <row r="614" spans="1:6" x14ac:dyDescent="0.3">
      <c r="A614" t="s">
        <v>213</v>
      </c>
      <c r="B614" t="s">
        <v>266</v>
      </c>
      <c r="C614">
        <v>2938</v>
      </c>
      <c r="D614" t="s">
        <v>254</v>
      </c>
      <c r="E614" s="53">
        <v>42230</v>
      </c>
      <c r="F614" t="s">
        <v>228</v>
      </c>
    </row>
    <row r="615" spans="1:6" x14ac:dyDescent="0.3">
      <c r="A615" t="s">
        <v>233</v>
      </c>
      <c r="B615" t="s">
        <v>310</v>
      </c>
      <c r="C615">
        <v>2941</v>
      </c>
      <c r="D615" t="s">
        <v>254</v>
      </c>
      <c r="E615" s="53">
        <v>41975</v>
      </c>
      <c r="F615" t="s">
        <v>221</v>
      </c>
    </row>
    <row r="616" spans="1:6" x14ac:dyDescent="0.3">
      <c r="A616" t="s">
        <v>236</v>
      </c>
      <c r="B616" t="s">
        <v>238</v>
      </c>
      <c r="C616">
        <v>2943</v>
      </c>
      <c r="D616" t="s">
        <v>215</v>
      </c>
      <c r="E616" s="53">
        <v>42160</v>
      </c>
      <c r="F616" t="s">
        <v>216</v>
      </c>
    </row>
    <row r="617" spans="1:6" x14ac:dyDescent="0.3">
      <c r="A617" t="s">
        <v>231</v>
      </c>
      <c r="B617" t="s">
        <v>257</v>
      </c>
      <c r="C617">
        <v>2945</v>
      </c>
      <c r="D617" t="s">
        <v>230</v>
      </c>
      <c r="E617" s="53">
        <v>41699</v>
      </c>
      <c r="F617" t="s">
        <v>212</v>
      </c>
    </row>
    <row r="618" spans="1:6" x14ac:dyDescent="0.3">
      <c r="A618" t="s">
        <v>236</v>
      </c>
      <c r="B618" t="s">
        <v>300</v>
      </c>
      <c r="C618">
        <v>2946</v>
      </c>
      <c r="D618" t="s">
        <v>222</v>
      </c>
      <c r="E618" s="53">
        <v>41951</v>
      </c>
      <c r="F618" t="s">
        <v>221</v>
      </c>
    </row>
    <row r="619" spans="1:6" x14ac:dyDescent="0.3">
      <c r="A619" t="s">
        <v>233</v>
      </c>
      <c r="B619" t="s">
        <v>265</v>
      </c>
      <c r="C619">
        <v>2957</v>
      </c>
      <c r="D619" t="s">
        <v>218</v>
      </c>
      <c r="E619" s="53">
        <v>41671</v>
      </c>
      <c r="F619" t="s">
        <v>212</v>
      </c>
    </row>
    <row r="620" spans="1:6" x14ac:dyDescent="0.3">
      <c r="A620" t="s">
        <v>239</v>
      </c>
      <c r="B620" t="s">
        <v>240</v>
      </c>
      <c r="C620">
        <v>2961</v>
      </c>
      <c r="D620" t="s">
        <v>211</v>
      </c>
      <c r="E620" s="53">
        <v>42230</v>
      </c>
      <c r="F620" t="s">
        <v>228</v>
      </c>
    </row>
    <row r="621" spans="1:6" x14ac:dyDescent="0.3">
      <c r="A621" t="s">
        <v>223</v>
      </c>
      <c r="B621" t="s">
        <v>273</v>
      </c>
      <c r="C621">
        <v>2963</v>
      </c>
      <c r="D621" t="s">
        <v>215</v>
      </c>
      <c r="E621" s="53">
        <v>42106</v>
      </c>
      <c r="F621" t="s">
        <v>216</v>
      </c>
    </row>
    <row r="622" spans="1:6" x14ac:dyDescent="0.3">
      <c r="A622" t="s">
        <v>233</v>
      </c>
      <c r="B622" t="s">
        <v>234</v>
      </c>
      <c r="C622">
        <v>2966</v>
      </c>
      <c r="D622" t="s">
        <v>225</v>
      </c>
      <c r="E622" s="53">
        <v>42188</v>
      </c>
      <c r="F622" t="s">
        <v>228</v>
      </c>
    </row>
    <row r="623" spans="1:6" x14ac:dyDescent="0.3">
      <c r="A623" t="s">
        <v>223</v>
      </c>
      <c r="B623" t="s">
        <v>259</v>
      </c>
      <c r="C623">
        <v>2966</v>
      </c>
      <c r="D623" t="s">
        <v>235</v>
      </c>
      <c r="E623" s="53">
        <v>42207</v>
      </c>
      <c r="F623" t="s">
        <v>228</v>
      </c>
    </row>
    <row r="624" spans="1:6" x14ac:dyDescent="0.3">
      <c r="A624" t="s">
        <v>233</v>
      </c>
      <c r="B624" t="s">
        <v>310</v>
      </c>
      <c r="C624">
        <v>2976</v>
      </c>
      <c r="D624" t="s">
        <v>211</v>
      </c>
      <c r="E624" s="53">
        <v>42281</v>
      </c>
      <c r="F624" t="s">
        <v>221</v>
      </c>
    </row>
    <row r="625" spans="1:6" x14ac:dyDescent="0.3">
      <c r="A625" t="s">
        <v>213</v>
      </c>
      <c r="B625" t="s">
        <v>268</v>
      </c>
      <c r="C625">
        <v>2978</v>
      </c>
      <c r="D625" t="s">
        <v>225</v>
      </c>
      <c r="E625" s="53">
        <v>41661</v>
      </c>
      <c r="F625" t="s">
        <v>212</v>
      </c>
    </row>
    <row r="626" spans="1:6" x14ac:dyDescent="0.3">
      <c r="A626" t="s">
        <v>223</v>
      </c>
      <c r="B626" t="s">
        <v>304</v>
      </c>
      <c r="C626">
        <v>2978</v>
      </c>
      <c r="D626" t="s">
        <v>230</v>
      </c>
      <c r="E626" s="53">
        <v>42326</v>
      </c>
      <c r="F626" t="s">
        <v>221</v>
      </c>
    </row>
    <row r="627" spans="1:6" x14ac:dyDescent="0.3">
      <c r="A627" t="s">
        <v>233</v>
      </c>
      <c r="B627" t="s">
        <v>283</v>
      </c>
      <c r="C627">
        <v>2981</v>
      </c>
      <c r="D627" t="s">
        <v>235</v>
      </c>
      <c r="E627" s="53">
        <v>42357</v>
      </c>
      <c r="F627" t="s">
        <v>221</v>
      </c>
    </row>
    <row r="628" spans="1:6" x14ac:dyDescent="0.3">
      <c r="A628" t="s">
        <v>231</v>
      </c>
      <c r="B628" t="s">
        <v>302</v>
      </c>
      <c r="C628">
        <v>2983</v>
      </c>
      <c r="D628" t="s">
        <v>211</v>
      </c>
      <c r="E628" s="53">
        <v>41748</v>
      </c>
      <c r="F628" t="s">
        <v>216</v>
      </c>
    </row>
    <row r="629" spans="1:6" x14ac:dyDescent="0.3">
      <c r="A629" t="s">
        <v>213</v>
      </c>
      <c r="B629" t="s">
        <v>299</v>
      </c>
      <c r="C629">
        <v>2995</v>
      </c>
      <c r="D629" t="s">
        <v>254</v>
      </c>
      <c r="E629" s="53">
        <v>41980</v>
      </c>
      <c r="F629" t="s">
        <v>221</v>
      </c>
    </row>
    <row r="630" spans="1:6" x14ac:dyDescent="0.3">
      <c r="A630" t="s">
        <v>233</v>
      </c>
      <c r="B630" t="s">
        <v>265</v>
      </c>
      <c r="C630">
        <v>2996</v>
      </c>
      <c r="D630" t="s">
        <v>220</v>
      </c>
      <c r="E630" s="53">
        <v>42157</v>
      </c>
      <c r="F630" t="s">
        <v>216</v>
      </c>
    </row>
    <row r="631" spans="1:6" x14ac:dyDescent="0.3">
      <c r="A631" t="s">
        <v>233</v>
      </c>
      <c r="B631" t="s">
        <v>258</v>
      </c>
      <c r="C631">
        <v>2996</v>
      </c>
      <c r="D631" t="s">
        <v>245</v>
      </c>
      <c r="E631" s="53">
        <v>42096</v>
      </c>
      <c r="F631" t="s">
        <v>216</v>
      </c>
    </row>
    <row r="632" spans="1:6" x14ac:dyDescent="0.3">
      <c r="A632" t="s">
        <v>233</v>
      </c>
      <c r="B632" t="s">
        <v>305</v>
      </c>
      <c r="C632">
        <v>3001</v>
      </c>
      <c r="D632" t="s">
        <v>230</v>
      </c>
      <c r="E632" s="53">
        <v>42175</v>
      </c>
      <c r="F632" t="s">
        <v>216</v>
      </c>
    </row>
    <row r="633" spans="1:6" x14ac:dyDescent="0.3">
      <c r="A633" t="s">
        <v>223</v>
      </c>
      <c r="B633" t="s">
        <v>276</v>
      </c>
      <c r="C633">
        <v>3004</v>
      </c>
      <c r="D633" t="s">
        <v>220</v>
      </c>
      <c r="E633" s="53">
        <v>42266</v>
      </c>
      <c r="F633" t="s">
        <v>228</v>
      </c>
    </row>
    <row r="634" spans="1:6" x14ac:dyDescent="0.3">
      <c r="A634" t="s">
        <v>231</v>
      </c>
      <c r="B634" t="s">
        <v>257</v>
      </c>
      <c r="C634">
        <v>3005</v>
      </c>
      <c r="D634" t="s">
        <v>215</v>
      </c>
      <c r="E634" s="53">
        <v>42325</v>
      </c>
      <c r="F634" t="s">
        <v>221</v>
      </c>
    </row>
    <row r="635" spans="1:6" x14ac:dyDescent="0.3">
      <c r="A635" t="s">
        <v>236</v>
      </c>
      <c r="B635" t="s">
        <v>286</v>
      </c>
      <c r="C635">
        <v>3009</v>
      </c>
      <c r="D635" t="s">
        <v>235</v>
      </c>
      <c r="E635" s="53">
        <v>41713</v>
      </c>
      <c r="F635" t="s">
        <v>212</v>
      </c>
    </row>
    <row r="636" spans="1:6" x14ac:dyDescent="0.3">
      <c r="A636" t="s">
        <v>209</v>
      </c>
      <c r="B636" t="s">
        <v>210</v>
      </c>
      <c r="C636">
        <v>3009</v>
      </c>
      <c r="D636" t="s">
        <v>230</v>
      </c>
      <c r="E636" s="53">
        <v>41817</v>
      </c>
      <c r="F636" t="s">
        <v>216</v>
      </c>
    </row>
    <row r="637" spans="1:6" x14ac:dyDescent="0.3">
      <c r="A637" t="s">
        <v>233</v>
      </c>
      <c r="B637" t="s">
        <v>248</v>
      </c>
      <c r="C637">
        <v>3020</v>
      </c>
      <c r="D637" t="s">
        <v>254</v>
      </c>
      <c r="E637" s="53">
        <v>42346</v>
      </c>
      <c r="F637" t="s">
        <v>221</v>
      </c>
    </row>
    <row r="638" spans="1:6" x14ac:dyDescent="0.3">
      <c r="A638" t="s">
        <v>223</v>
      </c>
      <c r="B638" t="s">
        <v>276</v>
      </c>
      <c r="C638">
        <v>3033</v>
      </c>
      <c r="D638" t="s">
        <v>211</v>
      </c>
      <c r="E638" s="53">
        <v>41874</v>
      </c>
      <c r="F638" t="s">
        <v>228</v>
      </c>
    </row>
    <row r="639" spans="1:6" x14ac:dyDescent="0.3">
      <c r="A639" t="s">
        <v>236</v>
      </c>
      <c r="B639" t="s">
        <v>294</v>
      </c>
      <c r="C639">
        <v>3043</v>
      </c>
      <c r="D639" t="s">
        <v>215</v>
      </c>
      <c r="E639" s="53">
        <v>41697</v>
      </c>
      <c r="F639" t="s">
        <v>212</v>
      </c>
    </row>
    <row r="640" spans="1:6" x14ac:dyDescent="0.3">
      <c r="A640" t="s">
        <v>239</v>
      </c>
      <c r="B640" t="s">
        <v>272</v>
      </c>
      <c r="C640">
        <v>3044</v>
      </c>
      <c r="D640" t="s">
        <v>225</v>
      </c>
      <c r="E640" s="53">
        <v>42016</v>
      </c>
      <c r="F640" t="s">
        <v>212</v>
      </c>
    </row>
    <row r="641" spans="1:6" x14ac:dyDescent="0.3">
      <c r="A641" t="s">
        <v>233</v>
      </c>
      <c r="B641" t="s">
        <v>252</v>
      </c>
      <c r="C641">
        <v>3044</v>
      </c>
      <c r="D641" t="s">
        <v>211</v>
      </c>
      <c r="E641" s="53">
        <v>41951</v>
      </c>
      <c r="F641" t="s">
        <v>221</v>
      </c>
    </row>
    <row r="642" spans="1:6" x14ac:dyDescent="0.3">
      <c r="A642" t="s">
        <v>236</v>
      </c>
      <c r="B642" t="s">
        <v>238</v>
      </c>
      <c r="C642">
        <v>3046</v>
      </c>
      <c r="D642" t="s">
        <v>211</v>
      </c>
      <c r="E642" s="53">
        <v>42055</v>
      </c>
      <c r="F642" t="s">
        <v>212</v>
      </c>
    </row>
    <row r="643" spans="1:6" x14ac:dyDescent="0.3">
      <c r="A643" t="s">
        <v>223</v>
      </c>
      <c r="B643" t="s">
        <v>295</v>
      </c>
      <c r="C643">
        <v>3049</v>
      </c>
      <c r="D643" t="s">
        <v>218</v>
      </c>
      <c r="E643" s="53">
        <v>41927</v>
      </c>
      <c r="F643" t="s">
        <v>221</v>
      </c>
    </row>
    <row r="644" spans="1:6" x14ac:dyDescent="0.3">
      <c r="A644" t="s">
        <v>213</v>
      </c>
      <c r="B644" t="s">
        <v>217</v>
      </c>
      <c r="C644">
        <v>3049</v>
      </c>
      <c r="D644" t="s">
        <v>211</v>
      </c>
      <c r="E644" s="53">
        <v>42356</v>
      </c>
      <c r="F644" t="s">
        <v>221</v>
      </c>
    </row>
    <row r="645" spans="1:6" x14ac:dyDescent="0.3">
      <c r="A645" t="s">
        <v>223</v>
      </c>
      <c r="B645" t="s">
        <v>224</v>
      </c>
      <c r="C645">
        <v>3051</v>
      </c>
      <c r="D645" t="s">
        <v>230</v>
      </c>
      <c r="E645" s="53">
        <v>41854</v>
      </c>
      <c r="F645" t="s">
        <v>228</v>
      </c>
    </row>
    <row r="646" spans="1:6" x14ac:dyDescent="0.3">
      <c r="A646" t="s">
        <v>233</v>
      </c>
      <c r="B646" t="s">
        <v>250</v>
      </c>
      <c r="C646">
        <v>3060</v>
      </c>
      <c r="D646" t="s">
        <v>235</v>
      </c>
      <c r="E646" s="53">
        <v>41667</v>
      </c>
      <c r="F646" t="s">
        <v>212</v>
      </c>
    </row>
    <row r="647" spans="1:6" x14ac:dyDescent="0.3">
      <c r="A647" t="s">
        <v>209</v>
      </c>
      <c r="B647" t="s">
        <v>226</v>
      </c>
      <c r="C647">
        <v>3064</v>
      </c>
      <c r="D647" t="s">
        <v>235</v>
      </c>
      <c r="E647" s="53">
        <v>42241</v>
      </c>
      <c r="F647" t="s">
        <v>228</v>
      </c>
    </row>
    <row r="648" spans="1:6" x14ac:dyDescent="0.3">
      <c r="A648" t="s">
        <v>223</v>
      </c>
      <c r="B648" t="s">
        <v>304</v>
      </c>
      <c r="C648">
        <v>3068</v>
      </c>
      <c r="D648" t="s">
        <v>235</v>
      </c>
      <c r="E648" s="53">
        <v>41816</v>
      </c>
      <c r="F648" t="s">
        <v>216</v>
      </c>
    </row>
    <row r="649" spans="1:6" x14ac:dyDescent="0.3">
      <c r="A649" t="s">
        <v>233</v>
      </c>
      <c r="B649" t="s">
        <v>283</v>
      </c>
      <c r="C649">
        <v>3068</v>
      </c>
      <c r="D649" t="s">
        <v>220</v>
      </c>
      <c r="E649" s="53">
        <v>42204</v>
      </c>
      <c r="F649" t="s">
        <v>228</v>
      </c>
    </row>
    <row r="650" spans="1:6" x14ac:dyDescent="0.3">
      <c r="A650" t="s">
        <v>231</v>
      </c>
      <c r="B650" t="s">
        <v>302</v>
      </c>
      <c r="C650">
        <v>3074</v>
      </c>
      <c r="D650" t="s">
        <v>230</v>
      </c>
      <c r="E650" s="53">
        <v>42217</v>
      </c>
      <c r="F650" t="s">
        <v>228</v>
      </c>
    </row>
    <row r="651" spans="1:6" x14ac:dyDescent="0.3">
      <c r="A651" t="s">
        <v>223</v>
      </c>
      <c r="B651" t="s">
        <v>259</v>
      </c>
      <c r="C651">
        <v>3075</v>
      </c>
      <c r="D651" t="s">
        <v>230</v>
      </c>
      <c r="E651" s="53">
        <v>41934</v>
      </c>
      <c r="F651" t="s">
        <v>221</v>
      </c>
    </row>
    <row r="652" spans="1:6" x14ac:dyDescent="0.3">
      <c r="A652" t="s">
        <v>209</v>
      </c>
      <c r="B652" t="s">
        <v>297</v>
      </c>
      <c r="C652">
        <v>3079</v>
      </c>
      <c r="D652" t="s">
        <v>220</v>
      </c>
      <c r="E652" s="53">
        <v>42297</v>
      </c>
      <c r="F652" t="s">
        <v>221</v>
      </c>
    </row>
    <row r="653" spans="1:6" x14ac:dyDescent="0.3">
      <c r="A653" t="s">
        <v>236</v>
      </c>
      <c r="B653" t="s">
        <v>237</v>
      </c>
      <c r="C653">
        <v>3086</v>
      </c>
      <c r="D653" t="s">
        <v>235</v>
      </c>
      <c r="E653" s="53">
        <v>42072</v>
      </c>
      <c r="F653" t="s">
        <v>212</v>
      </c>
    </row>
    <row r="654" spans="1:6" x14ac:dyDescent="0.3">
      <c r="A654" t="s">
        <v>231</v>
      </c>
      <c r="B654" t="s">
        <v>302</v>
      </c>
      <c r="C654">
        <v>3086</v>
      </c>
      <c r="D654" t="s">
        <v>215</v>
      </c>
      <c r="E654" s="53">
        <v>41777</v>
      </c>
      <c r="F654" t="s">
        <v>216</v>
      </c>
    </row>
    <row r="655" spans="1:6" x14ac:dyDescent="0.3">
      <c r="A655" t="s">
        <v>231</v>
      </c>
      <c r="B655" t="s">
        <v>257</v>
      </c>
      <c r="C655">
        <v>3089</v>
      </c>
      <c r="D655" t="s">
        <v>222</v>
      </c>
      <c r="E655" s="53">
        <v>42273</v>
      </c>
      <c r="F655" t="s">
        <v>228</v>
      </c>
    </row>
    <row r="656" spans="1:6" x14ac:dyDescent="0.3">
      <c r="A656" t="s">
        <v>213</v>
      </c>
      <c r="B656" t="s">
        <v>256</v>
      </c>
      <c r="C656">
        <v>3090</v>
      </c>
      <c r="D656" t="s">
        <v>225</v>
      </c>
      <c r="E656" s="53">
        <v>42120</v>
      </c>
      <c r="F656" t="s">
        <v>216</v>
      </c>
    </row>
    <row r="657" spans="1:6" x14ac:dyDescent="0.3">
      <c r="A657" t="s">
        <v>223</v>
      </c>
      <c r="B657" t="s">
        <v>227</v>
      </c>
      <c r="C657">
        <v>3094</v>
      </c>
      <c r="D657" t="s">
        <v>225</v>
      </c>
      <c r="E657" s="53">
        <v>42011</v>
      </c>
      <c r="F657" t="s">
        <v>212</v>
      </c>
    </row>
    <row r="658" spans="1:6" x14ac:dyDescent="0.3">
      <c r="A658" t="s">
        <v>239</v>
      </c>
      <c r="B658" t="s">
        <v>243</v>
      </c>
      <c r="C658">
        <v>3095</v>
      </c>
      <c r="D658" t="s">
        <v>218</v>
      </c>
      <c r="E658" s="53">
        <v>41733</v>
      </c>
      <c r="F658" t="s">
        <v>216</v>
      </c>
    </row>
    <row r="659" spans="1:6" x14ac:dyDescent="0.3">
      <c r="A659" t="s">
        <v>213</v>
      </c>
      <c r="B659" t="s">
        <v>217</v>
      </c>
      <c r="C659">
        <v>3095</v>
      </c>
      <c r="D659" t="s">
        <v>225</v>
      </c>
      <c r="E659" s="53">
        <v>41931</v>
      </c>
      <c r="F659" t="s">
        <v>221</v>
      </c>
    </row>
    <row r="660" spans="1:6" x14ac:dyDescent="0.3">
      <c r="A660" t="s">
        <v>213</v>
      </c>
      <c r="B660" t="s">
        <v>278</v>
      </c>
      <c r="C660">
        <v>3098</v>
      </c>
      <c r="D660" t="s">
        <v>225</v>
      </c>
      <c r="E660" s="53">
        <v>42075</v>
      </c>
      <c r="F660" t="s">
        <v>212</v>
      </c>
    </row>
    <row r="661" spans="1:6" x14ac:dyDescent="0.3">
      <c r="A661" t="s">
        <v>231</v>
      </c>
      <c r="B661" t="s">
        <v>271</v>
      </c>
      <c r="C661">
        <v>3104</v>
      </c>
      <c r="D661" t="s">
        <v>230</v>
      </c>
      <c r="E661" s="53">
        <v>41894</v>
      </c>
      <c r="F661" t="s">
        <v>228</v>
      </c>
    </row>
    <row r="662" spans="1:6" x14ac:dyDescent="0.3">
      <c r="A662" t="s">
        <v>231</v>
      </c>
      <c r="B662" t="s">
        <v>309</v>
      </c>
      <c r="C662">
        <v>3105</v>
      </c>
      <c r="D662" t="s">
        <v>245</v>
      </c>
      <c r="E662" s="53">
        <v>41706</v>
      </c>
      <c r="F662" t="s">
        <v>212</v>
      </c>
    </row>
    <row r="663" spans="1:6" x14ac:dyDescent="0.3">
      <c r="A663" t="s">
        <v>233</v>
      </c>
      <c r="B663" t="s">
        <v>252</v>
      </c>
      <c r="C663">
        <v>3112</v>
      </c>
      <c r="D663" t="s">
        <v>225</v>
      </c>
      <c r="E663" s="53">
        <v>41651</v>
      </c>
      <c r="F663" t="s">
        <v>212</v>
      </c>
    </row>
    <row r="664" spans="1:6" x14ac:dyDescent="0.3">
      <c r="A664" t="s">
        <v>213</v>
      </c>
      <c r="B664" t="s">
        <v>229</v>
      </c>
      <c r="C664">
        <v>3115</v>
      </c>
      <c r="D664" t="s">
        <v>230</v>
      </c>
      <c r="E664" s="53">
        <v>41782</v>
      </c>
      <c r="F664" t="s">
        <v>216</v>
      </c>
    </row>
    <row r="665" spans="1:6" x14ac:dyDescent="0.3">
      <c r="A665" t="s">
        <v>231</v>
      </c>
      <c r="B665" t="s">
        <v>279</v>
      </c>
      <c r="C665">
        <v>3115</v>
      </c>
      <c r="D665" t="s">
        <v>254</v>
      </c>
      <c r="E665" s="53">
        <v>41750</v>
      </c>
      <c r="F665" t="s">
        <v>216</v>
      </c>
    </row>
    <row r="666" spans="1:6" x14ac:dyDescent="0.3">
      <c r="A666" t="s">
        <v>236</v>
      </c>
      <c r="B666" t="s">
        <v>292</v>
      </c>
      <c r="C666">
        <v>3119</v>
      </c>
      <c r="D666" t="s">
        <v>220</v>
      </c>
      <c r="E666" s="53">
        <v>42160</v>
      </c>
      <c r="F666" t="s">
        <v>216</v>
      </c>
    </row>
    <row r="667" spans="1:6" x14ac:dyDescent="0.3">
      <c r="A667" t="s">
        <v>239</v>
      </c>
      <c r="B667" t="s">
        <v>267</v>
      </c>
      <c r="C667">
        <v>3120</v>
      </c>
      <c r="D667" t="s">
        <v>225</v>
      </c>
      <c r="E667" s="53">
        <v>42069</v>
      </c>
      <c r="F667" t="s">
        <v>212</v>
      </c>
    </row>
    <row r="668" spans="1:6" x14ac:dyDescent="0.3">
      <c r="A668" t="s">
        <v>233</v>
      </c>
      <c r="B668" t="s">
        <v>285</v>
      </c>
      <c r="C668">
        <v>3124</v>
      </c>
      <c r="D668" t="s">
        <v>220</v>
      </c>
      <c r="E668" s="53">
        <v>42110</v>
      </c>
      <c r="F668" t="s">
        <v>216</v>
      </c>
    </row>
    <row r="669" spans="1:6" x14ac:dyDescent="0.3">
      <c r="A669" t="s">
        <v>239</v>
      </c>
      <c r="B669" t="s">
        <v>243</v>
      </c>
      <c r="C669">
        <v>3127</v>
      </c>
      <c r="D669" t="s">
        <v>222</v>
      </c>
      <c r="E669" s="53">
        <v>41913</v>
      </c>
      <c r="F669" t="s">
        <v>221</v>
      </c>
    </row>
    <row r="670" spans="1:6" x14ac:dyDescent="0.3">
      <c r="A670" t="s">
        <v>239</v>
      </c>
      <c r="B670" t="s">
        <v>272</v>
      </c>
      <c r="C670">
        <v>3131</v>
      </c>
      <c r="D670" t="s">
        <v>211</v>
      </c>
      <c r="E670" s="53">
        <v>41754</v>
      </c>
      <c r="F670" t="s">
        <v>216</v>
      </c>
    </row>
    <row r="671" spans="1:6" x14ac:dyDescent="0.3">
      <c r="A671" t="s">
        <v>231</v>
      </c>
      <c r="B671" t="s">
        <v>279</v>
      </c>
      <c r="C671">
        <v>3135</v>
      </c>
      <c r="D671" t="s">
        <v>225</v>
      </c>
      <c r="E671" s="53">
        <v>42056</v>
      </c>
      <c r="F671" t="s">
        <v>212</v>
      </c>
    </row>
    <row r="672" spans="1:6" x14ac:dyDescent="0.3">
      <c r="A672" t="s">
        <v>213</v>
      </c>
      <c r="B672" t="s">
        <v>278</v>
      </c>
      <c r="C672">
        <v>3137</v>
      </c>
      <c r="D672" t="s">
        <v>211</v>
      </c>
      <c r="E672" s="53">
        <v>41663</v>
      </c>
      <c r="F672" t="s">
        <v>212</v>
      </c>
    </row>
    <row r="673" spans="1:6" x14ac:dyDescent="0.3">
      <c r="A673" t="s">
        <v>213</v>
      </c>
      <c r="B673" t="s">
        <v>288</v>
      </c>
      <c r="C673">
        <v>3141</v>
      </c>
      <c r="D673" t="s">
        <v>218</v>
      </c>
      <c r="E673" s="53">
        <v>42350</v>
      </c>
      <c r="F673" t="s">
        <v>221</v>
      </c>
    </row>
    <row r="674" spans="1:6" x14ac:dyDescent="0.3">
      <c r="A674" t="s">
        <v>233</v>
      </c>
      <c r="B674" t="s">
        <v>283</v>
      </c>
      <c r="C674">
        <v>3145</v>
      </c>
      <c r="D674" t="s">
        <v>245</v>
      </c>
      <c r="E674" s="53">
        <v>42038</v>
      </c>
      <c r="F674" t="s">
        <v>212</v>
      </c>
    </row>
    <row r="675" spans="1:6" x14ac:dyDescent="0.3">
      <c r="A675" t="s">
        <v>239</v>
      </c>
      <c r="B675" t="s">
        <v>272</v>
      </c>
      <c r="C675">
        <v>3149</v>
      </c>
      <c r="D675" t="s">
        <v>230</v>
      </c>
      <c r="E675" s="53">
        <v>42333</v>
      </c>
      <c r="F675" t="s">
        <v>221</v>
      </c>
    </row>
    <row r="676" spans="1:6" x14ac:dyDescent="0.3">
      <c r="A676" t="s">
        <v>223</v>
      </c>
      <c r="B676" t="s">
        <v>295</v>
      </c>
      <c r="C676">
        <v>3156</v>
      </c>
      <c r="D676" t="s">
        <v>218</v>
      </c>
      <c r="E676" s="53">
        <v>41913</v>
      </c>
      <c r="F676" t="s">
        <v>221</v>
      </c>
    </row>
    <row r="677" spans="1:6" x14ac:dyDescent="0.3">
      <c r="A677" t="s">
        <v>233</v>
      </c>
      <c r="B677" t="s">
        <v>285</v>
      </c>
      <c r="C677">
        <v>3157</v>
      </c>
      <c r="D677" t="s">
        <v>215</v>
      </c>
      <c r="E677" s="53">
        <v>41839</v>
      </c>
      <c r="F677" t="s">
        <v>228</v>
      </c>
    </row>
    <row r="678" spans="1:6" x14ac:dyDescent="0.3">
      <c r="A678" t="s">
        <v>233</v>
      </c>
      <c r="B678" t="s">
        <v>250</v>
      </c>
      <c r="C678">
        <v>3158</v>
      </c>
      <c r="D678" t="s">
        <v>222</v>
      </c>
      <c r="E678" s="53">
        <v>42122</v>
      </c>
      <c r="F678" t="s">
        <v>216</v>
      </c>
    </row>
    <row r="679" spans="1:6" x14ac:dyDescent="0.3">
      <c r="A679" t="s">
        <v>236</v>
      </c>
      <c r="B679" t="s">
        <v>237</v>
      </c>
      <c r="C679">
        <v>3161</v>
      </c>
      <c r="D679" t="s">
        <v>230</v>
      </c>
      <c r="E679" s="53">
        <v>41697</v>
      </c>
      <c r="F679" t="s">
        <v>212</v>
      </c>
    </row>
    <row r="680" spans="1:6" x14ac:dyDescent="0.3">
      <c r="A680" t="s">
        <v>233</v>
      </c>
      <c r="B680" t="s">
        <v>248</v>
      </c>
      <c r="C680">
        <v>3176</v>
      </c>
      <c r="D680" t="s">
        <v>225</v>
      </c>
      <c r="E680" s="53">
        <v>41845</v>
      </c>
      <c r="F680" t="s">
        <v>228</v>
      </c>
    </row>
    <row r="681" spans="1:6" x14ac:dyDescent="0.3">
      <c r="A681" t="s">
        <v>223</v>
      </c>
      <c r="B681" t="s">
        <v>263</v>
      </c>
      <c r="C681">
        <v>3180</v>
      </c>
      <c r="D681" t="s">
        <v>230</v>
      </c>
      <c r="E681" s="53">
        <v>41712</v>
      </c>
      <c r="F681" t="s">
        <v>212</v>
      </c>
    </row>
    <row r="682" spans="1:6" x14ac:dyDescent="0.3">
      <c r="A682" t="s">
        <v>236</v>
      </c>
      <c r="B682" t="s">
        <v>286</v>
      </c>
      <c r="C682">
        <v>3182</v>
      </c>
      <c r="D682" t="s">
        <v>222</v>
      </c>
      <c r="E682" s="53">
        <v>41866</v>
      </c>
      <c r="F682" t="s">
        <v>228</v>
      </c>
    </row>
    <row r="683" spans="1:6" x14ac:dyDescent="0.3">
      <c r="A683" t="s">
        <v>213</v>
      </c>
      <c r="B683" t="s">
        <v>214</v>
      </c>
      <c r="C683">
        <v>3186</v>
      </c>
      <c r="D683" t="s">
        <v>230</v>
      </c>
      <c r="E683" s="53">
        <v>41792</v>
      </c>
      <c r="F683" t="s">
        <v>216</v>
      </c>
    </row>
    <row r="684" spans="1:6" x14ac:dyDescent="0.3">
      <c r="A684" t="s">
        <v>223</v>
      </c>
      <c r="B684" t="s">
        <v>282</v>
      </c>
      <c r="C684">
        <v>3193</v>
      </c>
      <c r="D684" t="s">
        <v>220</v>
      </c>
      <c r="E684" s="53">
        <v>41870</v>
      </c>
      <c r="F684" t="s">
        <v>228</v>
      </c>
    </row>
    <row r="685" spans="1:6" x14ac:dyDescent="0.3">
      <c r="A685" t="s">
        <v>231</v>
      </c>
      <c r="B685" t="s">
        <v>302</v>
      </c>
      <c r="C685">
        <v>3195</v>
      </c>
      <c r="D685" t="s">
        <v>218</v>
      </c>
      <c r="E685" s="53">
        <v>41762</v>
      </c>
      <c r="F685" t="s">
        <v>216</v>
      </c>
    </row>
    <row r="686" spans="1:6" x14ac:dyDescent="0.3">
      <c r="A686" t="s">
        <v>231</v>
      </c>
      <c r="B686" t="s">
        <v>289</v>
      </c>
      <c r="C686">
        <v>3199</v>
      </c>
      <c r="D686" t="s">
        <v>245</v>
      </c>
      <c r="E686" s="53">
        <v>42038</v>
      </c>
      <c r="F686" t="s">
        <v>212</v>
      </c>
    </row>
    <row r="687" spans="1:6" x14ac:dyDescent="0.3">
      <c r="A687" t="s">
        <v>231</v>
      </c>
      <c r="B687" t="s">
        <v>232</v>
      </c>
      <c r="C687">
        <v>3202</v>
      </c>
      <c r="D687" t="s">
        <v>225</v>
      </c>
      <c r="E687" s="53">
        <v>41749</v>
      </c>
      <c r="F687" t="s">
        <v>216</v>
      </c>
    </row>
    <row r="688" spans="1:6" x14ac:dyDescent="0.3">
      <c r="A688" t="s">
        <v>213</v>
      </c>
      <c r="B688" t="s">
        <v>299</v>
      </c>
      <c r="C688">
        <v>3208</v>
      </c>
      <c r="D688" t="s">
        <v>222</v>
      </c>
      <c r="E688" s="53">
        <v>42152</v>
      </c>
      <c r="F688" t="s">
        <v>216</v>
      </c>
    </row>
    <row r="689" spans="1:6" x14ac:dyDescent="0.3">
      <c r="A689" t="s">
        <v>231</v>
      </c>
      <c r="B689" t="s">
        <v>244</v>
      </c>
      <c r="C689">
        <v>3216</v>
      </c>
      <c r="D689" t="s">
        <v>218</v>
      </c>
      <c r="E689" s="53">
        <v>41785</v>
      </c>
      <c r="F689" t="s">
        <v>216</v>
      </c>
    </row>
    <row r="690" spans="1:6" x14ac:dyDescent="0.3">
      <c r="A690" t="s">
        <v>209</v>
      </c>
      <c r="B690" t="s">
        <v>219</v>
      </c>
      <c r="C690">
        <v>3221</v>
      </c>
      <c r="D690" t="s">
        <v>215</v>
      </c>
      <c r="E690" s="53">
        <v>42164</v>
      </c>
      <c r="F690" t="s">
        <v>216</v>
      </c>
    </row>
    <row r="691" spans="1:6" x14ac:dyDescent="0.3">
      <c r="A691" t="s">
        <v>209</v>
      </c>
      <c r="B691" t="s">
        <v>307</v>
      </c>
      <c r="C691">
        <v>3224</v>
      </c>
      <c r="D691" t="s">
        <v>218</v>
      </c>
      <c r="E691" s="53">
        <v>42359</v>
      </c>
      <c r="F691" t="s">
        <v>221</v>
      </c>
    </row>
    <row r="692" spans="1:6" x14ac:dyDescent="0.3">
      <c r="A692" t="s">
        <v>213</v>
      </c>
      <c r="B692" t="s">
        <v>299</v>
      </c>
      <c r="C692">
        <v>3225</v>
      </c>
      <c r="D692" t="s">
        <v>230</v>
      </c>
      <c r="E692" s="53">
        <v>41641</v>
      </c>
      <c r="F692" t="s">
        <v>212</v>
      </c>
    </row>
    <row r="693" spans="1:6" x14ac:dyDescent="0.3">
      <c r="A693" t="s">
        <v>209</v>
      </c>
      <c r="B693" t="s">
        <v>210</v>
      </c>
      <c r="C693">
        <v>3232</v>
      </c>
      <c r="D693" t="s">
        <v>225</v>
      </c>
      <c r="E693" s="53">
        <v>41724</v>
      </c>
      <c r="F693" t="s">
        <v>212</v>
      </c>
    </row>
    <row r="694" spans="1:6" x14ac:dyDescent="0.3">
      <c r="A694" t="s">
        <v>213</v>
      </c>
      <c r="B694" t="s">
        <v>256</v>
      </c>
      <c r="C694">
        <v>3232</v>
      </c>
      <c r="D694" t="s">
        <v>230</v>
      </c>
      <c r="E694" s="53">
        <v>41949</v>
      </c>
      <c r="F694" t="s">
        <v>221</v>
      </c>
    </row>
    <row r="695" spans="1:6" x14ac:dyDescent="0.3">
      <c r="A695" t="s">
        <v>209</v>
      </c>
      <c r="B695" t="s">
        <v>297</v>
      </c>
      <c r="C695">
        <v>3235</v>
      </c>
      <c r="D695" t="s">
        <v>235</v>
      </c>
      <c r="E695" s="53">
        <v>41684</v>
      </c>
      <c r="F695" t="s">
        <v>212</v>
      </c>
    </row>
    <row r="696" spans="1:6" x14ac:dyDescent="0.3">
      <c r="A696" t="s">
        <v>213</v>
      </c>
      <c r="B696" t="s">
        <v>217</v>
      </c>
      <c r="C696">
        <v>3241</v>
      </c>
      <c r="D696" t="s">
        <v>230</v>
      </c>
      <c r="E696" s="53">
        <v>41719</v>
      </c>
      <c r="F696" t="s">
        <v>212</v>
      </c>
    </row>
    <row r="697" spans="1:6" x14ac:dyDescent="0.3">
      <c r="A697" t="s">
        <v>233</v>
      </c>
      <c r="B697" t="s">
        <v>258</v>
      </c>
      <c r="C697">
        <v>3244</v>
      </c>
      <c r="D697" t="s">
        <v>225</v>
      </c>
      <c r="E697" s="53">
        <v>42250</v>
      </c>
      <c r="F697" t="s">
        <v>228</v>
      </c>
    </row>
    <row r="698" spans="1:6" x14ac:dyDescent="0.3">
      <c r="A698" t="s">
        <v>223</v>
      </c>
      <c r="B698" t="s">
        <v>290</v>
      </c>
      <c r="C698">
        <v>3245</v>
      </c>
      <c r="D698" t="s">
        <v>230</v>
      </c>
      <c r="E698" s="53">
        <v>42046</v>
      </c>
      <c r="F698" t="s">
        <v>212</v>
      </c>
    </row>
    <row r="699" spans="1:6" x14ac:dyDescent="0.3">
      <c r="A699" t="s">
        <v>236</v>
      </c>
      <c r="B699" t="s">
        <v>291</v>
      </c>
      <c r="C699">
        <v>3251</v>
      </c>
      <c r="D699" t="s">
        <v>218</v>
      </c>
      <c r="E699" s="53">
        <v>41760</v>
      </c>
      <c r="F699" t="s">
        <v>216</v>
      </c>
    </row>
    <row r="700" spans="1:6" x14ac:dyDescent="0.3">
      <c r="A700" t="s">
        <v>231</v>
      </c>
      <c r="B700" t="s">
        <v>271</v>
      </c>
      <c r="C700">
        <v>3253</v>
      </c>
      <c r="D700" t="s">
        <v>230</v>
      </c>
      <c r="E700" s="53">
        <v>42193</v>
      </c>
      <c r="F700" t="s">
        <v>228</v>
      </c>
    </row>
    <row r="701" spans="1:6" x14ac:dyDescent="0.3">
      <c r="A701" t="s">
        <v>209</v>
      </c>
      <c r="B701" t="s">
        <v>261</v>
      </c>
      <c r="C701">
        <v>3256</v>
      </c>
      <c r="D701" t="s">
        <v>220</v>
      </c>
      <c r="E701" s="53">
        <v>42332</v>
      </c>
      <c r="F701" t="s">
        <v>221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8D16-F0EE-41B9-B289-02F28B6FB4E1}">
  <dimension ref="A1:J700"/>
  <sheetViews>
    <sheetView topLeftCell="C15" zoomScale="78" zoomScaleNormal="78" workbookViewId="0">
      <selection activeCell="H24" sqref="H24"/>
    </sheetView>
  </sheetViews>
  <sheetFormatPr defaultRowHeight="14.4" x14ac:dyDescent="0.3"/>
  <cols>
    <col min="1" max="1" width="17.21875" customWidth="1"/>
    <col min="2" max="2" width="20.109375" customWidth="1"/>
    <col min="4" max="4" width="14.21875" customWidth="1"/>
    <col min="5" max="5" width="18.109375" customWidth="1"/>
    <col min="8" max="8" width="26.88671875" bestFit="1" customWidth="1"/>
    <col min="9" max="9" width="10.21875" bestFit="1" customWidth="1"/>
    <col min="10" max="11" width="8.77734375" bestFit="1" customWidth="1"/>
  </cols>
  <sheetData>
    <row r="1" spans="1:10" ht="15" thickBot="1" x14ac:dyDescent="0.35"/>
    <row r="2" spans="1:10" ht="15" thickBot="1" x14ac:dyDescent="0.35">
      <c r="A2" s="36" t="s">
        <v>203</v>
      </c>
      <c r="B2" s="37" t="s">
        <v>204</v>
      </c>
      <c r="C2" s="37" t="s">
        <v>205</v>
      </c>
      <c r="D2" s="37" t="s">
        <v>206</v>
      </c>
      <c r="E2" s="38" t="s">
        <v>207</v>
      </c>
      <c r="F2" s="39" t="s">
        <v>208</v>
      </c>
      <c r="G2" s="54" t="s">
        <v>315</v>
      </c>
      <c r="H2" s="52" t="s">
        <v>312</v>
      </c>
    </row>
    <row r="3" spans="1:10" x14ac:dyDescent="0.3">
      <c r="A3" s="40" t="s">
        <v>209</v>
      </c>
      <c r="B3" s="41" t="s">
        <v>210</v>
      </c>
      <c r="C3" s="41">
        <v>748</v>
      </c>
      <c r="D3" s="41" t="s">
        <v>211</v>
      </c>
      <c r="E3" s="42">
        <v>42069</v>
      </c>
      <c r="F3" s="43" t="s">
        <v>212</v>
      </c>
      <c r="G3" t="str" cm="1">
        <f t="array" ref="G3">_xlfn.IFS(C3&lt;=1000,"LOW",C3&lt;=2500,"MEDIUM",C3&gt;2500,"HIGH")</f>
        <v>LOW</v>
      </c>
    </row>
    <row r="4" spans="1:10" x14ac:dyDescent="0.3">
      <c r="A4" s="44" t="s">
        <v>213</v>
      </c>
      <c r="B4" s="45" t="s">
        <v>214</v>
      </c>
      <c r="C4" s="45">
        <v>753</v>
      </c>
      <c r="D4" s="45" t="s">
        <v>215</v>
      </c>
      <c r="E4" s="46">
        <v>41732</v>
      </c>
      <c r="F4" s="47" t="s">
        <v>216</v>
      </c>
      <c r="G4" t="str" cm="1">
        <f t="array" ref="G4">_xlfn.IFS(C3&lt;=1000,"LOW",C3&lt;=2500,"MEDIUM",C3&gt;2500,"HIGH")</f>
        <v>LOW</v>
      </c>
      <c r="H4" t="s">
        <v>313</v>
      </c>
    </row>
    <row r="5" spans="1:10" x14ac:dyDescent="0.3">
      <c r="A5" s="44" t="s">
        <v>213</v>
      </c>
      <c r="B5" s="45" t="s">
        <v>217</v>
      </c>
      <c r="C5" s="45">
        <v>755</v>
      </c>
      <c r="D5" s="45" t="s">
        <v>218</v>
      </c>
      <c r="E5" s="46">
        <v>42042</v>
      </c>
      <c r="F5" s="47" t="s">
        <v>212</v>
      </c>
      <c r="G5" t="str" cm="1">
        <f t="array" ref="G5">_xlfn.IFS(C4&lt;=1000,"LOW",C4&lt;=2500,"MEDIUM",C4&gt;2500,"HIGH")</f>
        <v>LOW</v>
      </c>
      <c r="H5">
        <v>698</v>
      </c>
    </row>
    <row r="6" spans="1:10" x14ac:dyDescent="0.3">
      <c r="A6" s="44" t="s">
        <v>209</v>
      </c>
      <c r="B6" s="45" t="s">
        <v>219</v>
      </c>
      <c r="C6" s="45">
        <v>757</v>
      </c>
      <c r="D6" s="45" t="s">
        <v>220</v>
      </c>
      <c r="E6" s="46">
        <v>42324</v>
      </c>
      <c r="F6" s="47" t="s">
        <v>221</v>
      </c>
      <c r="G6" t="str" cm="1">
        <f t="array" ref="G6">_xlfn.IFS(C5&lt;=1000,"LOW",C5&lt;=2500,"MEDIUM",C5&gt;2500,"HIGH")</f>
        <v>LOW</v>
      </c>
    </row>
    <row r="7" spans="1:10" x14ac:dyDescent="0.3">
      <c r="A7" s="44" t="s">
        <v>213</v>
      </c>
      <c r="B7" s="45" t="s">
        <v>217</v>
      </c>
      <c r="C7" s="45">
        <v>757</v>
      </c>
      <c r="D7" s="45" t="s">
        <v>222</v>
      </c>
      <c r="E7" s="46">
        <v>42300</v>
      </c>
      <c r="F7" s="47" t="s">
        <v>221</v>
      </c>
      <c r="G7" t="str" cm="1">
        <f t="array" ref="G7">_xlfn.IFS(C6&lt;=1000,"LOW",C6&lt;=2500,"MEDIUM",C6&gt;2500,"HIGH")</f>
        <v>LOW</v>
      </c>
      <c r="H7" s="56" t="s">
        <v>318</v>
      </c>
    </row>
    <row r="8" spans="1:10" x14ac:dyDescent="0.3">
      <c r="A8" s="44" t="s">
        <v>223</v>
      </c>
      <c r="B8" s="45" t="s">
        <v>224</v>
      </c>
      <c r="C8" s="45">
        <v>772</v>
      </c>
      <c r="D8" s="45" t="s">
        <v>225</v>
      </c>
      <c r="E8" s="46">
        <v>42001</v>
      </c>
      <c r="F8" s="47" t="s">
        <v>221</v>
      </c>
      <c r="G8" t="str" cm="1">
        <f t="array" ref="G8">_xlfn.IFS(C7&lt;=1000,"LOW",C7&lt;=2500,"MEDIUM",C7&gt;2500,"HIGH")</f>
        <v>LOW</v>
      </c>
      <c r="H8" s="55" t="s">
        <v>203</v>
      </c>
      <c r="I8" s="55" t="s">
        <v>204</v>
      </c>
      <c r="J8" t="s">
        <v>317</v>
      </c>
    </row>
    <row r="9" spans="1:10" x14ac:dyDescent="0.3">
      <c r="A9" s="44" t="s">
        <v>209</v>
      </c>
      <c r="B9" s="45" t="s">
        <v>226</v>
      </c>
      <c r="C9" s="45">
        <v>773</v>
      </c>
      <c r="D9" s="45" t="s">
        <v>215</v>
      </c>
      <c r="E9" s="46">
        <v>42096</v>
      </c>
      <c r="F9" s="47" t="s">
        <v>216</v>
      </c>
      <c r="G9" t="str" cm="1">
        <f t="array" ref="G9">_xlfn.IFS(C8&lt;=1000,"LOW",C8&lt;=2500,"MEDIUM",C8&gt;2500,"HIGH")</f>
        <v>LOW</v>
      </c>
      <c r="H9" t="s">
        <v>233</v>
      </c>
      <c r="J9">
        <v>293904</v>
      </c>
    </row>
    <row r="10" spans="1:10" x14ac:dyDescent="0.3">
      <c r="A10" s="44" t="s">
        <v>223</v>
      </c>
      <c r="B10" s="45" t="s">
        <v>227</v>
      </c>
      <c r="C10" s="45">
        <v>781</v>
      </c>
      <c r="D10" s="45" t="s">
        <v>215</v>
      </c>
      <c r="E10" s="46">
        <v>41870</v>
      </c>
      <c r="F10" s="47" t="s">
        <v>228</v>
      </c>
      <c r="G10" t="str" cm="1">
        <f t="array" ref="G10">_xlfn.IFS(C9&lt;=1000,"LOW",C9&lt;=2500,"MEDIUM",C9&gt;2500,"HIGH")</f>
        <v>LOW</v>
      </c>
      <c r="H10" t="s">
        <v>209</v>
      </c>
      <c r="J10">
        <v>152158</v>
      </c>
    </row>
    <row r="11" spans="1:10" x14ac:dyDescent="0.3">
      <c r="A11" s="44" t="s">
        <v>213</v>
      </c>
      <c r="B11" s="45" t="s">
        <v>229</v>
      </c>
      <c r="C11" s="45">
        <v>784</v>
      </c>
      <c r="D11" s="45" t="s">
        <v>230</v>
      </c>
      <c r="E11" s="46">
        <v>42241</v>
      </c>
      <c r="F11" s="47" t="s">
        <v>228</v>
      </c>
      <c r="G11" t="str" cm="1">
        <f t="array" ref="G11">_xlfn.IFS(C10&lt;=1000,"LOW",C10&lt;=2500,"MEDIUM",C10&gt;2500,"HIGH")</f>
        <v>LOW</v>
      </c>
      <c r="H11" t="s">
        <v>236</v>
      </c>
      <c r="J11">
        <v>185296</v>
      </c>
    </row>
    <row r="12" spans="1:10" x14ac:dyDescent="0.3">
      <c r="A12" s="44" t="s">
        <v>231</v>
      </c>
      <c r="B12" s="45" t="s">
        <v>232</v>
      </c>
      <c r="C12" s="45">
        <v>785</v>
      </c>
      <c r="D12" s="45" t="s">
        <v>225</v>
      </c>
      <c r="E12" s="46">
        <v>41920</v>
      </c>
      <c r="F12" s="47" t="s">
        <v>221</v>
      </c>
      <c r="G12" t="str" cm="1">
        <f t="array" ref="G12">_xlfn.IFS(C11&lt;=1000,"LOW",C11&lt;=2500,"MEDIUM",C11&gt;2500,"HIGH")</f>
        <v>LOW</v>
      </c>
      <c r="H12" t="s">
        <v>246</v>
      </c>
      <c r="J12">
        <v>83014</v>
      </c>
    </row>
    <row r="13" spans="1:10" x14ac:dyDescent="0.3">
      <c r="A13" s="44" t="s">
        <v>233</v>
      </c>
      <c r="B13" s="45" t="s">
        <v>234</v>
      </c>
      <c r="C13" s="45">
        <v>786</v>
      </c>
      <c r="D13" s="45" t="s">
        <v>235</v>
      </c>
      <c r="E13" s="46">
        <v>42208</v>
      </c>
      <c r="F13" s="47" t="s">
        <v>228</v>
      </c>
      <c r="G13" t="str" cm="1">
        <f t="array" ref="G13">_xlfn.IFS(C12&lt;=1000,"LOW",C12&lt;=2500,"MEDIUM",C12&gt;2500,"HIGH")</f>
        <v>LOW</v>
      </c>
      <c r="H13" t="s">
        <v>223</v>
      </c>
      <c r="J13">
        <v>255816</v>
      </c>
    </row>
    <row r="14" spans="1:10" x14ac:dyDescent="0.3">
      <c r="A14" s="44" t="s">
        <v>236</v>
      </c>
      <c r="B14" s="45" t="s">
        <v>237</v>
      </c>
      <c r="C14" s="45">
        <v>789</v>
      </c>
      <c r="D14" s="45" t="s">
        <v>211</v>
      </c>
      <c r="E14" s="46">
        <v>42140</v>
      </c>
      <c r="F14" s="47" t="s">
        <v>216</v>
      </c>
      <c r="G14" t="str" cm="1">
        <f t="array" ref="G14">_xlfn.IFS(C13&lt;=1000,"LOW",C13&lt;=2500,"MEDIUM",C13&gt;2500,"HIGH")</f>
        <v>LOW</v>
      </c>
      <c r="H14" t="s">
        <v>213</v>
      </c>
      <c r="J14">
        <v>176312</v>
      </c>
    </row>
    <row r="15" spans="1:10" x14ac:dyDescent="0.3">
      <c r="A15" s="44" t="s">
        <v>236</v>
      </c>
      <c r="B15" s="45" t="s">
        <v>238</v>
      </c>
      <c r="C15" s="45">
        <v>800</v>
      </c>
      <c r="D15" s="45" t="s">
        <v>235</v>
      </c>
      <c r="E15" s="46">
        <v>42077</v>
      </c>
      <c r="F15" s="47" t="s">
        <v>212</v>
      </c>
      <c r="G15" t="str" cm="1">
        <f t="array" ref="G15">_xlfn.IFS(C14&lt;=1000,"LOW",C14&lt;=2500,"MEDIUM",C14&gt;2500,"HIGH")</f>
        <v>LOW</v>
      </c>
      <c r="H15" t="s">
        <v>239</v>
      </c>
      <c r="J15">
        <v>84210</v>
      </c>
    </row>
    <row r="16" spans="1:10" x14ac:dyDescent="0.3">
      <c r="A16" s="44" t="s">
        <v>239</v>
      </c>
      <c r="B16" s="45" t="s">
        <v>240</v>
      </c>
      <c r="C16" s="45">
        <v>800</v>
      </c>
      <c r="D16" s="45" t="s">
        <v>218</v>
      </c>
      <c r="E16" s="46">
        <v>41889</v>
      </c>
      <c r="F16" s="47" t="s">
        <v>228</v>
      </c>
      <c r="G16" t="str" cm="1">
        <f t="array" ref="G16">_xlfn.IFS(C15&lt;=1000,"LOW",C15&lt;=2500,"MEDIUM",C15&gt;2500,"HIGH")</f>
        <v>LOW</v>
      </c>
      <c r="H16" t="s">
        <v>231</v>
      </c>
      <c r="J16">
        <v>165080</v>
      </c>
    </row>
    <row r="17" spans="1:10" x14ac:dyDescent="0.3">
      <c r="A17" s="44" t="s">
        <v>223</v>
      </c>
      <c r="B17" s="45" t="s">
        <v>241</v>
      </c>
      <c r="C17" s="45">
        <v>802</v>
      </c>
      <c r="D17" s="45" t="s">
        <v>215</v>
      </c>
      <c r="E17" s="46">
        <v>42022</v>
      </c>
      <c r="F17" s="47" t="s">
        <v>212</v>
      </c>
      <c r="G17" t="str" cm="1">
        <f t="array" ref="G17">_xlfn.IFS(C16&lt;=1000,"LOW",C16&lt;=2500,"MEDIUM",C16&gt;2500,"HIGH")</f>
        <v>LOW</v>
      </c>
      <c r="H17" t="s">
        <v>316</v>
      </c>
      <c r="J17">
        <v>1395790</v>
      </c>
    </row>
    <row r="18" spans="1:10" x14ac:dyDescent="0.3">
      <c r="A18" s="44" t="s">
        <v>209</v>
      </c>
      <c r="B18" s="45" t="s">
        <v>242</v>
      </c>
      <c r="C18" s="45">
        <v>803</v>
      </c>
      <c r="D18" s="45" t="s">
        <v>220</v>
      </c>
      <c r="E18" s="46">
        <v>42352</v>
      </c>
      <c r="F18" s="47" t="s">
        <v>221</v>
      </c>
      <c r="G18" t="str" cm="1">
        <f t="array" ref="G18">_xlfn.IFS(C17&lt;=1000,"LOW",C17&lt;=2500,"MEDIUM",C17&gt;2500,"HIGH")</f>
        <v>LOW</v>
      </c>
    </row>
    <row r="19" spans="1:10" x14ac:dyDescent="0.3">
      <c r="A19" s="44" t="s">
        <v>239</v>
      </c>
      <c r="B19" s="45" t="s">
        <v>243</v>
      </c>
      <c r="C19" s="45">
        <v>804</v>
      </c>
      <c r="D19" s="45" t="s">
        <v>211</v>
      </c>
      <c r="E19" s="46">
        <v>42158</v>
      </c>
      <c r="F19" s="47" t="s">
        <v>216</v>
      </c>
      <c r="G19" t="str" cm="1">
        <f t="array" ref="G19">_xlfn.IFS(C18&lt;=1000,"LOW",C18&lt;=2500,"MEDIUM",C18&gt;2500,"HIGH")</f>
        <v>LOW</v>
      </c>
    </row>
    <row r="20" spans="1:10" x14ac:dyDescent="0.3">
      <c r="A20" s="44" t="s">
        <v>231</v>
      </c>
      <c r="B20" s="45" t="s">
        <v>244</v>
      </c>
      <c r="C20" s="45">
        <v>807</v>
      </c>
      <c r="D20" s="45" t="s">
        <v>245</v>
      </c>
      <c r="E20" s="46">
        <v>41696</v>
      </c>
      <c r="F20" s="47" t="s">
        <v>212</v>
      </c>
      <c r="G20" t="str" cm="1">
        <f t="array" ref="G20">_xlfn.IFS(C19&lt;=1000,"LOW",C19&lt;=2500,"MEDIUM",C19&gt;2500,"HIGH")</f>
        <v>LOW</v>
      </c>
    </row>
    <row r="21" spans="1:10" x14ac:dyDescent="0.3">
      <c r="A21" s="44" t="s">
        <v>246</v>
      </c>
      <c r="B21" s="45" t="s">
        <v>247</v>
      </c>
      <c r="C21" s="45">
        <v>808</v>
      </c>
      <c r="D21" s="45" t="s">
        <v>220</v>
      </c>
      <c r="E21" s="46">
        <v>41677</v>
      </c>
      <c r="F21" s="47" t="s">
        <v>212</v>
      </c>
      <c r="G21" t="str" cm="1">
        <f t="array" ref="G21">_xlfn.IFS(C20&lt;=1000,"LOW",C20&lt;=2500,"MEDIUM",C20&gt;2500,"HIGH")</f>
        <v>LOW</v>
      </c>
    </row>
    <row r="22" spans="1:10" x14ac:dyDescent="0.3">
      <c r="A22" s="44" t="s">
        <v>233</v>
      </c>
      <c r="B22" s="45" t="s">
        <v>248</v>
      </c>
      <c r="C22" s="45">
        <v>811</v>
      </c>
      <c r="D22" s="45" t="s">
        <v>230</v>
      </c>
      <c r="E22" s="46">
        <v>42204</v>
      </c>
      <c r="F22" s="47" t="s">
        <v>228</v>
      </c>
      <c r="G22" t="str" cm="1">
        <f t="array" ref="G22">_xlfn.IFS(C21&lt;=1000,"LOW",C21&lt;=2500,"MEDIUM",C21&gt;2500,"HIGH")</f>
        <v>LOW</v>
      </c>
    </row>
    <row r="23" spans="1:10" x14ac:dyDescent="0.3">
      <c r="A23" s="44" t="s">
        <v>223</v>
      </c>
      <c r="B23" s="45" t="s">
        <v>249</v>
      </c>
      <c r="C23" s="45">
        <v>814</v>
      </c>
      <c r="D23" s="45" t="s">
        <v>245</v>
      </c>
      <c r="E23" s="46">
        <v>41995</v>
      </c>
      <c r="F23" s="47" t="s">
        <v>221</v>
      </c>
      <c r="G23" t="str" cm="1">
        <f t="array" ref="G23">_xlfn.IFS(C22&lt;=1000,"LOW",C22&lt;=2500,"MEDIUM",C22&gt;2500,"HIGH")</f>
        <v>LOW</v>
      </c>
    </row>
    <row r="24" spans="1:10" x14ac:dyDescent="0.3">
      <c r="A24" s="44" t="s">
        <v>233</v>
      </c>
      <c r="B24" s="45" t="s">
        <v>250</v>
      </c>
      <c r="C24" s="45">
        <v>815</v>
      </c>
      <c r="D24" s="45" t="s">
        <v>220</v>
      </c>
      <c r="E24" s="46">
        <v>41905</v>
      </c>
      <c r="F24" s="47" t="s">
        <v>228</v>
      </c>
      <c r="G24" t="str" cm="1">
        <f t="array" ref="G24">_xlfn.IFS(C23&lt;=1000,"LOW",C23&lt;=2500,"MEDIUM",C23&gt;2500,"HIGH")</f>
        <v>LOW</v>
      </c>
    </row>
    <row r="25" spans="1:10" x14ac:dyDescent="0.3">
      <c r="A25" s="44" t="s">
        <v>233</v>
      </c>
      <c r="B25" s="45" t="s">
        <v>251</v>
      </c>
      <c r="C25" s="45">
        <v>816</v>
      </c>
      <c r="D25" s="45" t="s">
        <v>245</v>
      </c>
      <c r="E25" s="46">
        <v>41749</v>
      </c>
      <c r="F25" s="47" t="s">
        <v>216</v>
      </c>
      <c r="G25" t="str" cm="1">
        <f t="array" ref="G25">_xlfn.IFS(C24&lt;=1000,"LOW",C24&lt;=2500,"MEDIUM",C24&gt;2500,"HIGH")</f>
        <v>LOW</v>
      </c>
    </row>
    <row r="26" spans="1:10" x14ac:dyDescent="0.3">
      <c r="A26" s="44" t="s">
        <v>233</v>
      </c>
      <c r="B26" s="45" t="s">
        <v>252</v>
      </c>
      <c r="C26" s="45">
        <v>820</v>
      </c>
      <c r="D26" s="45" t="s">
        <v>245</v>
      </c>
      <c r="E26" s="46">
        <v>42290</v>
      </c>
      <c r="F26" s="47" t="s">
        <v>221</v>
      </c>
      <c r="G26" t="str" cm="1">
        <f t="array" ref="G26">_xlfn.IFS(C25&lt;=1000,"LOW",C25&lt;=2500,"MEDIUM",C25&gt;2500,"HIGH")</f>
        <v>LOW</v>
      </c>
    </row>
    <row r="27" spans="1:10" x14ac:dyDescent="0.3">
      <c r="A27" s="44" t="s">
        <v>236</v>
      </c>
      <c r="B27" s="45" t="s">
        <v>253</v>
      </c>
      <c r="C27" s="45">
        <v>825</v>
      </c>
      <c r="D27" s="45" t="s">
        <v>254</v>
      </c>
      <c r="E27" s="46">
        <v>42147</v>
      </c>
      <c r="F27" s="47" t="s">
        <v>216</v>
      </c>
      <c r="G27" t="str" cm="1">
        <f t="array" ref="G27">_xlfn.IFS(C26&lt;=1000,"LOW",C26&lt;=2500,"MEDIUM",C26&gt;2500,"HIGH")</f>
        <v>LOW</v>
      </c>
    </row>
    <row r="28" spans="1:10" x14ac:dyDescent="0.3">
      <c r="A28" s="44" t="s">
        <v>233</v>
      </c>
      <c r="B28" s="45" t="s">
        <v>255</v>
      </c>
      <c r="C28" s="45">
        <v>826</v>
      </c>
      <c r="D28" s="45" t="s">
        <v>211</v>
      </c>
      <c r="E28" s="46">
        <v>42328</v>
      </c>
      <c r="F28" s="47" t="s">
        <v>221</v>
      </c>
      <c r="G28" t="str" cm="1">
        <f t="array" ref="G28">_xlfn.IFS(C27&lt;=1000,"LOW",C27&lt;=2500,"MEDIUM",C27&gt;2500,"HIGH")</f>
        <v>LOW</v>
      </c>
    </row>
    <row r="29" spans="1:10" x14ac:dyDescent="0.3">
      <c r="A29" s="44" t="s">
        <v>236</v>
      </c>
      <c r="B29" s="45" t="s">
        <v>238</v>
      </c>
      <c r="C29" s="45">
        <v>830</v>
      </c>
      <c r="D29" s="45" t="s">
        <v>215</v>
      </c>
      <c r="E29" s="46">
        <v>41769</v>
      </c>
      <c r="F29" s="47" t="s">
        <v>216</v>
      </c>
      <c r="G29" t="str" cm="1">
        <f t="array" ref="G29">_xlfn.IFS(C28&lt;=1000,"LOW",C28&lt;=2500,"MEDIUM",C28&gt;2500,"HIGH")</f>
        <v>LOW</v>
      </c>
    </row>
    <row r="30" spans="1:10" x14ac:dyDescent="0.3">
      <c r="A30" s="44" t="s">
        <v>213</v>
      </c>
      <c r="B30" s="45" t="s">
        <v>256</v>
      </c>
      <c r="C30" s="45">
        <v>830</v>
      </c>
      <c r="D30" s="45" t="s">
        <v>222</v>
      </c>
      <c r="E30" s="46">
        <v>41733</v>
      </c>
      <c r="F30" s="47" t="s">
        <v>216</v>
      </c>
      <c r="G30" t="str" cm="1">
        <f t="array" ref="G30">_xlfn.IFS(C29&lt;=1000,"LOW",C29&lt;=2500,"MEDIUM",C29&gt;2500,"HIGH")</f>
        <v>LOW</v>
      </c>
    </row>
    <row r="31" spans="1:10" x14ac:dyDescent="0.3">
      <c r="A31" s="44" t="s">
        <v>231</v>
      </c>
      <c r="B31" s="45" t="s">
        <v>257</v>
      </c>
      <c r="C31" s="45">
        <v>837</v>
      </c>
      <c r="D31" s="45" t="s">
        <v>254</v>
      </c>
      <c r="E31" s="46">
        <v>42362</v>
      </c>
      <c r="F31" s="47" t="s">
        <v>221</v>
      </c>
      <c r="G31" t="str" cm="1">
        <f t="array" ref="G31">_xlfn.IFS(C30&lt;=1000,"LOW",C30&lt;=2500,"MEDIUM",C30&gt;2500,"HIGH")</f>
        <v>LOW</v>
      </c>
    </row>
    <row r="32" spans="1:10" x14ac:dyDescent="0.3">
      <c r="A32" s="44" t="s">
        <v>233</v>
      </c>
      <c r="B32" s="45" t="s">
        <v>258</v>
      </c>
      <c r="C32" s="45">
        <v>838</v>
      </c>
      <c r="D32" s="45" t="s">
        <v>245</v>
      </c>
      <c r="E32" s="46">
        <v>41983</v>
      </c>
      <c r="F32" s="47" t="s">
        <v>221</v>
      </c>
      <c r="G32" t="str" cm="1">
        <f t="array" ref="G32">_xlfn.IFS(C31&lt;=1000,"LOW",C31&lt;=2500,"MEDIUM",C31&gt;2500,"HIGH")</f>
        <v>LOW</v>
      </c>
    </row>
    <row r="33" spans="1:7" x14ac:dyDescent="0.3">
      <c r="A33" s="44" t="s">
        <v>236</v>
      </c>
      <c r="B33" s="45" t="s">
        <v>253</v>
      </c>
      <c r="C33" s="45">
        <v>844</v>
      </c>
      <c r="D33" s="45" t="s">
        <v>220</v>
      </c>
      <c r="E33" s="46">
        <v>42130</v>
      </c>
      <c r="F33" s="47" t="s">
        <v>216</v>
      </c>
      <c r="G33" t="str" cm="1">
        <f t="array" ref="G33">_xlfn.IFS(C32&lt;=1000,"LOW",C32&lt;=2500,"MEDIUM",C32&gt;2500,"HIGH")</f>
        <v>LOW</v>
      </c>
    </row>
    <row r="34" spans="1:7" x14ac:dyDescent="0.3">
      <c r="A34" s="44" t="s">
        <v>233</v>
      </c>
      <c r="B34" s="45" t="s">
        <v>248</v>
      </c>
      <c r="C34" s="45">
        <v>845</v>
      </c>
      <c r="D34" s="45" t="s">
        <v>215</v>
      </c>
      <c r="E34" s="46">
        <v>42282</v>
      </c>
      <c r="F34" s="47" t="s">
        <v>221</v>
      </c>
      <c r="G34" t="str" cm="1">
        <f t="array" ref="G34">_xlfn.IFS(C33&lt;=1000,"LOW",C33&lt;=2500,"MEDIUM",C33&gt;2500,"HIGH")</f>
        <v>LOW</v>
      </c>
    </row>
    <row r="35" spans="1:7" x14ac:dyDescent="0.3">
      <c r="A35" s="44" t="s">
        <v>223</v>
      </c>
      <c r="B35" s="45" t="s">
        <v>259</v>
      </c>
      <c r="C35" s="45">
        <v>846</v>
      </c>
      <c r="D35" s="45" t="s">
        <v>222</v>
      </c>
      <c r="E35" s="46">
        <v>42089</v>
      </c>
      <c r="F35" s="47" t="s">
        <v>212</v>
      </c>
      <c r="G35" t="str" cm="1">
        <f t="array" ref="G35">_xlfn.IFS(C34&lt;=1000,"LOW",C34&lt;=2500,"MEDIUM",C34&gt;2500,"HIGH")</f>
        <v>LOW</v>
      </c>
    </row>
    <row r="36" spans="1:7" x14ac:dyDescent="0.3">
      <c r="A36" s="44" t="s">
        <v>233</v>
      </c>
      <c r="B36" s="45" t="s">
        <v>248</v>
      </c>
      <c r="C36" s="45">
        <v>849</v>
      </c>
      <c r="D36" s="45" t="s">
        <v>230</v>
      </c>
      <c r="E36" s="46">
        <v>41773</v>
      </c>
      <c r="F36" s="47" t="s">
        <v>216</v>
      </c>
      <c r="G36" t="str" cm="1">
        <f t="array" ref="G36">_xlfn.IFS(C35&lt;=1000,"LOW",C35&lt;=2500,"MEDIUM",C35&gt;2500,"HIGH")</f>
        <v>LOW</v>
      </c>
    </row>
    <row r="37" spans="1:7" x14ac:dyDescent="0.3">
      <c r="A37" s="44" t="s">
        <v>233</v>
      </c>
      <c r="B37" s="45" t="s">
        <v>260</v>
      </c>
      <c r="C37" s="45">
        <v>851</v>
      </c>
      <c r="D37" s="45" t="s">
        <v>225</v>
      </c>
      <c r="E37" s="46">
        <v>42346</v>
      </c>
      <c r="F37" s="47" t="s">
        <v>221</v>
      </c>
      <c r="G37" t="str" cm="1">
        <f t="array" ref="G37">_xlfn.IFS(C36&lt;=1000,"LOW",C36&lt;=2500,"MEDIUM",C36&gt;2500,"HIGH")</f>
        <v>LOW</v>
      </c>
    </row>
    <row r="38" spans="1:7" x14ac:dyDescent="0.3">
      <c r="A38" s="44" t="s">
        <v>209</v>
      </c>
      <c r="B38" s="45" t="s">
        <v>261</v>
      </c>
      <c r="C38" s="45">
        <v>860</v>
      </c>
      <c r="D38" s="45" t="s">
        <v>230</v>
      </c>
      <c r="E38" s="46">
        <v>42040</v>
      </c>
      <c r="F38" s="47" t="s">
        <v>212</v>
      </c>
      <c r="G38" t="str" cm="1">
        <f t="array" ref="G38">_xlfn.IFS(C37&lt;=1000,"LOW",C37&lt;=2500,"MEDIUM",C37&gt;2500,"HIGH")</f>
        <v>LOW</v>
      </c>
    </row>
    <row r="39" spans="1:7" x14ac:dyDescent="0.3">
      <c r="A39" s="44" t="s">
        <v>213</v>
      </c>
      <c r="B39" s="45" t="s">
        <v>214</v>
      </c>
      <c r="C39" s="45">
        <v>862</v>
      </c>
      <c r="D39" s="45" t="s">
        <v>215</v>
      </c>
      <c r="E39" s="46">
        <v>42310</v>
      </c>
      <c r="F39" s="47" t="s">
        <v>221</v>
      </c>
      <c r="G39" t="str" cm="1">
        <f t="array" ref="G39">_xlfn.IFS(C38&lt;=1000,"LOW",C38&lt;=2500,"MEDIUM",C38&gt;2500,"HIGH")</f>
        <v>LOW</v>
      </c>
    </row>
    <row r="40" spans="1:7" x14ac:dyDescent="0.3">
      <c r="A40" s="44" t="s">
        <v>246</v>
      </c>
      <c r="B40" s="45" t="s">
        <v>262</v>
      </c>
      <c r="C40" s="45">
        <v>866</v>
      </c>
      <c r="D40" s="45" t="s">
        <v>215</v>
      </c>
      <c r="E40" s="46">
        <v>41681</v>
      </c>
      <c r="F40" s="47" t="s">
        <v>212</v>
      </c>
      <c r="G40" t="str" cm="1">
        <f t="array" ref="G40">_xlfn.IFS(C39&lt;=1000,"LOW",C39&lt;=2500,"MEDIUM",C39&gt;2500,"HIGH")</f>
        <v>LOW</v>
      </c>
    </row>
    <row r="41" spans="1:7" x14ac:dyDescent="0.3">
      <c r="A41" s="44" t="s">
        <v>223</v>
      </c>
      <c r="B41" s="45" t="s">
        <v>263</v>
      </c>
      <c r="C41" s="45">
        <v>872</v>
      </c>
      <c r="D41" s="45" t="s">
        <v>222</v>
      </c>
      <c r="E41" s="46">
        <v>41962</v>
      </c>
      <c r="F41" s="47" t="s">
        <v>221</v>
      </c>
      <c r="G41" t="str" cm="1">
        <f t="array" ref="G41">_xlfn.IFS(C40&lt;=1000,"LOW",C40&lt;=2500,"MEDIUM",C40&gt;2500,"HIGH")</f>
        <v>LOW</v>
      </c>
    </row>
    <row r="42" spans="1:7" x14ac:dyDescent="0.3">
      <c r="A42" s="44" t="s">
        <v>209</v>
      </c>
      <c r="B42" s="45" t="s">
        <v>264</v>
      </c>
      <c r="C42" s="45">
        <v>874</v>
      </c>
      <c r="D42" s="45" t="s">
        <v>245</v>
      </c>
      <c r="E42" s="46">
        <v>41964</v>
      </c>
      <c r="F42" s="47" t="s">
        <v>221</v>
      </c>
      <c r="G42" t="str" cm="1">
        <f t="array" ref="G42">_xlfn.IFS(C41&lt;=1000,"LOW",C41&lt;=2500,"MEDIUM",C41&gt;2500,"HIGH")</f>
        <v>LOW</v>
      </c>
    </row>
    <row r="43" spans="1:7" x14ac:dyDescent="0.3">
      <c r="A43" s="44" t="s">
        <v>236</v>
      </c>
      <c r="B43" s="45" t="s">
        <v>253</v>
      </c>
      <c r="C43" s="45">
        <v>874</v>
      </c>
      <c r="D43" s="45" t="s">
        <v>235</v>
      </c>
      <c r="E43" s="46">
        <v>42366</v>
      </c>
      <c r="F43" s="47" t="s">
        <v>221</v>
      </c>
      <c r="G43" t="str" cm="1">
        <f t="array" ref="G43">_xlfn.IFS(C42&lt;=1000,"LOW",C42&lt;=2500,"MEDIUM",C42&gt;2500,"HIGH")</f>
        <v>LOW</v>
      </c>
    </row>
    <row r="44" spans="1:7" x14ac:dyDescent="0.3">
      <c r="A44" s="44" t="s">
        <v>233</v>
      </c>
      <c r="B44" s="45" t="s">
        <v>265</v>
      </c>
      <c r="C44" s="45">
        <v>895</v>
      </c>
      <c r="D44" s="45" t="s">
        <v>215</v>
      </c>
      <c r="E44" s="46">
        <v>42050</v>
      </c>
      <c r="F44" s="47" t="s">
        <v>212</v>
      </c>
      <c r="G44" t="str" cm="1">
        <f t="array" ref="G44">_xlfn.IFS(C43&lt;=1000,"LOW",C43&lt;=2500,"MEDIUM",C43&gt;2500,"HIGH")</f>
        <v>LOW</v>
      </c>
    </row>
    <row r="45" spans="1:7" x14ac:dyDescent="0.3">
      <c r="A45" s="44" t="s">
        <v>213</v>
      </c>
      <c r="B45" s="45" t="s">
        <v>266</v>
      </c>
      <c r="C45" s="45">
        <v>896</v>
      </c>
      <c r="D45" s="45" t="s">
        <v>218</v>
      </c>
      <c r="E45" s="46">
        <v>42008</v>
      </c>
      <c r="F45" s="47" t="s">
        <v>212</v>
      </c>
      <c r="G45" t="str" cm="1">
        <f t="array" ref="G45">_xlfn.IFS(C44&lt;=1000,"LOW",C44&lt;=2500,"MEDIUM",C44&gt;2500,"HIGH")</f>
        <v>LOW</v>
      </c>
    </row>
    <row r="46" spans="1:7" x14ac:dyDescent="0.3">
      <c r="A46" s="44" t="s">
        <v>246</v>
      </c>
      <c r="B46" s="45" t="s">
        <v>262</v>
      </c>
      <c r="C46" s="45">
        <v>898</v>
      </c>
      <c r="D46" s="45" t="s">
        <v>254</v>
      </c>
      <c r="E46" s="46">
        <v>42080</v>
      </c>
      <c r="F46" s="47" t="s">
        <v>212</v>
      </c>
      <c r="G46" t="str" cm="1">
        <f t="array" ref="G46">_xlfn.IFS(C45&lt;=1000,"LOW",C45&lt;=2500,"MEDIUM",C45&gt;2500,"HIGH")</f>
        <v>LOW</v>
      </c>
    </row>
    <row r="47" spans="1:7" x14ac:dyDescent="0.3">
      <c r="A47" s="44" t="s">
        <v>239</v>
      </c>
      <c r="B47" s="45" t="s">
        <v>267</v>
      </c>
      <c r="C47" s="45">
        <v>907</v>
      </c>
      <c r="D47" s="45" t="s">
        <v>215</v>
      </c>
      <c r="E47" s="46">
        <v>41745</v>
      </c>
      <c r="F47" s="47" t="s">
        <v>216</v>
      </c>
      <c r="G47" t="str" cm="1">
        <f t="array" ref="G47">_xlfn.IFS(C46&lt;=1000,"LOW",C46&lt;=2500,"MEDIUM",C46&gt;2500,"HIGH")</f>
        <v>LOW</v>
      </c>
    </row>
    <row r="48" spans="1:7" x14ac:dyDescent="0.3">
      <c r="A48" s="44" t="s">
        <v>213</v>
      </c>
      <c r="B48" s="45" t="s">
        <v>268</v>
      </c>
      <c r="C48" s="45">
        <v>911</v>
      </c>
      <c r="D48" s="45" t="s">
        <v>218</v>
      </c>
      <c r="E48" s="46">
        <v>42335</v>
      </c>
      <c r="F48" s="47" t="s">
        <v>221</v>
      </c>
      <c r="G48" t="str" cm="1">
        <f t="array" ref="G48">_xlfn.IFS(C47&lt;=1000,"LOW",C47&lt;=2500,"MEDIUM",C47&gt;2500,"HIGH")</f>
        <v>LOW</v>
      </c>
    </row>
    <row r="49" spans="1:7" x14ac:dyDescent="0.3">
      <c r="A49" s="44" t="s">
        <v>239</v>
      </c>
      <c r="B49" s="45" t="s">
        <v>269</v>
      </c>
      <c r="C49" s="45">
        <v>916</v>
      </c>
      <c r="D49" s="45" t="s">
        <v>215</v>
      </c>
      <c r="E49" s="46">
        <v>41828</v>
      </c>
      <c r="F49" s="47" t="s">
        <v>228</v>
      </c>
      <c r="G49" t="str" cm="1">
        <f t="array" ref="G49">_xlfn.IFS(C48&lt;=1000,"LOW",C48&lt;=2500,"MEDIUM",C48&gt;2500,"HIGH")</f>
        <v>LOW</v>
      </c>
    </row>
    <row r="50" spans="1:7" x14ac:dyDescent="0.3">
      <c r="A50" s="44" t="s">
        <v>209</v>
      </c>
      <c r="B50" s="45" t="s">
        <v>270</v>
      </c>
      <c r="C50" s="45">
        <v>917</v>
      </c>
      <c r="D50" s="45" t="s">
        <v>211</v>
      </c>
      <c r="E50" s="46">
        <v>42009</v>
      </c>
      <c r="F50" s="47" t="s">
        <v>212</v>
      </c>
      <c r="G50" t="str" cm="1">
        <f t="array" ref="G50">_xlfn.IFS(C49&lt;=1000,"LOW",C49&lt;=2500,"MEDIUM",C49&gt;2500,"HIGH")</f>
        <v>LOW</v>
      </c>
    </row>
    <row r="51" spans="1:7" x14ac:dyDescent="0.3">
      <c r="A51" s="44" t="s">
        <v>213</v>
      </c>
      <c r="B51" s="45" t="s">
        <v>217</v>
      </c>
      <c r="C51" s="45">
        <v>921</v>
      </c>
      <c r="D51" s="45" t="s">
        <v>218</v>
      </c>
      <c r="E51" s="46">
        <v>42192</v>
      </c>
      <c r="F51" s="47" t="s">
        <v>228</v>
      </c>
      <c r="G51" t="str" cm="1">
        <f t="array" ref="G51">_xlfn.IFS(C50&lt;=1000,"LOW",C50&lt;=2500,"MEDIUM",C50&gt;2500,"HIGH")</f>
        <v>LOW</v>
      </c>
    </row>
    <row r="52" spans="1:7" x14ac:dyDescent="0.3">
      <c r="A52" s="44" t="s">
        <v>231</v>
      </c>
      <c r="B52" s="45" t="s">
        <v>271</v>
      </c>
      <c r="C52" s="45">
        <v>922</v>
      </c>
      <c r="D52" s="45" t="s">
        <v>218</v>
      </c>
      <c r="E52" s="46">
        <v>41646</v>
      </c>
      <c r="F52" s="47" t="s">
        <v>212</v>
      </c>
      <c r="G52" t="str" cm="1">
        <f t="array" ref="G52">_xlfn.IFS(C51&lt;=1000,"LOW",C51&lt;=2500,"MEDIUM",C51&gt;2500,"HIGH")</f>
        <v>LOW</v>
      </c>
    </row>
    <row r="53" spans="1:7" x14ac:dyDescent="0.3">
      <c r="A53" s="44" t="s">
        <v>239</v>
      </c>
      <c r="B53" s="45" t="s">
        <v>272</v>
      </c>
      <c r="C53" s="45">
        <v>925</v>
      </c>
      <c r="D53" s="45" t="s">
        <v>211</v>
      </c>
      <c r="E53" s="46">
        <v>41858</v>
      </c>
      <c r="F53" s="47" t="s">
        <v>228</v>
      </c>
      <c r="G53" t="str" cm="1">
        <f t="array" ref="G53">_xlfn.IFS(C52&lt;=1000,"LOW",C52&lt;=2500,"MEDIUM",C52&gt;2500,"HIGH")</f>
        <v>LOW</v>
      </c>
    </row>
    <row r="54" spans="1:7" x14ac:dyDescent="0.3">
      <c r="A54" s="44" t="s">
        <v>223</v>
      </c>
      <c r="B54" s="45" t="s">
        <v>273</v>
      </c>
      <c r="C54" s="45">
        <v>926</v>
      </c>
      <c r="D54" s="45" t="s">
        <v>254</v>
      </c>
      <c r="E54" s="46">
        <v>41986</v>
      </c>
      <c r="F54" s="47" t="s">
        <v>221</v>
      </c>
      <c r="G54" t="str" cm="1">
        <f t="array" ref="G54">_xlfn.IFS(C53&lt;=1000,"LOW",C53&lt;=2500,"MEDIUM",C53&gt;2500,"HIGH")</f>
        <v>LOW</v>
      </c>
    </row>
    <row r="55" spans="1:7" x14ac:dyDescent="0.3">
      <c r="A55" s="44" t="s">
        <v>246</v>
      </c>
      <c r="B55" s="45" t="s">
        <v>274</v>
      </c>
      <c r="C55" s="45">
        <v>932</v>
      </c>
      <c r="D55" s="45" t="s">
        <v>254</v>
      </c>
      <c r="E55" s="46">
        <v>42297</v>
      </c>
      <c r="F55" s="47" t="s">
        <v>221</v>
      </c>
      <c r="G55" t="str" cm="1">
        <f t="array" ref="G55">_xlfn.IFS(C54&lt;=1000,"LOW",C54&lt;=2500,"MEDIUM",C54&gt;2500,"HIGH")</f>
        <v>LOW</v>
      </c>
    </row>
    <row r="56" spans="1:7" x14ac:dyDescent="0.3">
      <c r="A56" s="44" t="s">
        <v>239</v>
      </c>
      <c r="B56" s="45" t="s">
        <v>243</v>
      </c>
      <c r="C56" s="45">
        <v>935</v>
      </c>
      <c r="D56" s="45" t="s">
        <v>235</v>
      </c>
      <c r="E56" s="46">
        <v>42060</v>
      </c>
      <c r="F56" s="47" t="s">
        <v>212</v>
      </c>
      <c r="G56" t="str" cm="1">
        <f t="array" ref="G56">_xlfn.IFS(C55&lt;=1000,"LOW",C55&lt;=2500,"MEDIUM",C55&gt;2500,"HIGH")</f>
        <v>LOW</v>
      </c>
    </row>
    <row r="57" spans="1:7" x14ac:dyDescent="0.3">
      <c r="A57" s="44" t="s">
        <v>231</v>
      </c>
      <c r="B57" s="45" t="s">
        <v>275</v>
      </c>
      <c r="C57" s="45">
        <v>940</v>
      </c>
      <c r="D57" s="45" t="s">
        <v>225</v>
      </c>
      <c r="E57" s="46">
        <v>42052</v>
      </c>
      <c r="F57" s="47" t="s">
        <v>212</v>
      </c>
      <c r="G57" t="str" cm="1">
        <f t="array" ref="G57">_xlfn.IFS(C56&lt;=1000,"LOW",C56&lt;=2500,"MEDIUM",C56&gt;2500,"HIGH")</f>
        <v>LOW</v>
      </c>
    </row>
    <row r="58" spans="1:7" x14ac:dyDescent="0.3">
      <c r="A58" s="44" t="s">
        <v>223</v>
      </c>
      <c r="B58" s="45" t="s">
        <v>276</v>
      </c>
      <c r="C58" s="45">
        <v>942</v>
      </c>
      <c r="D58" s="45" t="s">
        <v>225</v>
      </c>
      <c r="E58" s="46">
        <v>42117</v>
      </c>
      <c r="F58" s="47" t="s">
        <v>216</v>
      </c>
      <c r="G58" t="str" cm="1">
        <f t="array" ref="G58">_xlfn.IFS(C57&lt;=1000,"LOW",C57&lt;=2500,"MEDIUM",C57&gt;2500,"HIGH")</f>
        <v>LOW</v>
      </c>
    </row>
    <row r="59" spans="1:7" x14ac:dyDescent="0.3">
      <c r="A59" s="44" t="s">
        <v>239</v>
      </c>
      <c r="B59" s="45" t="s">
        <v>243</v>
      </c>
      <c r="C59" s="45">
        <v>945</v>
      </c>
      <c r="D59" s="45" t="s">
        <v>235</v>
      </c>
      <c r="E59" s="46">
        <v>42219</v>
      </c>
      <c r="F59" s="47" t="s">
        <v>228</v>
      </c>
      <c r="G59" t="str" cm="1">
        <f t="array" ref="G59">_xlfn.IFS(C58&lt;=1000,"LOW",C58&lt;=2500,"MEDIUM",C58&gt;2500,"HIGH")</f>
        <v>LOW</v>
      </c>
    </row>
    <row r="60" spans="1:7" x14ac:dyDescent="0.3">
      <c r="A60" s="44" t="s">
        <v>213</v>
      </c>
      <c r="B60" s="45" t="s">
        <v>277</v>
      </c>
      <c r="C60" s="45">
        <v>953</v>
      </c>
      <c r="D60" s="45" t="s">
        <v>230</v>
      </c>
      <c r="E60" s="46">
        <v>42351</v>
      </c>
      <c r="F60" s="47" t="s">
        <v>221</v>
      </c>
      <c r="G60" t="str" cm="1">
        <f t="array" ref="G60">_xlfn.IFS(C59&lt;=1000,"LOW",C59&lt;=2500,"MEDIUM",C59&gt;2500,"HIGH")</f>
        <v>LOW</v>
      </c>
    </row>
    <row r="61" spans="1:7" x14ac:dyDescent="0.3">
      <c r="A61" s="44" t="s">
        <v>231</v>
      </c>
      <c r="B61" s="45" t="s">
        <v>275</v>
      </c>
      <c r="C61" s="45">
        <v>964</v>
      </c>
      <c r="D61" s="45" t="s">
        <v>230</v>
      </c>
      <c r="E61" s="46">
        <v>41996</v>
      </c>
      <c r="F61" s="47" t="s">
        <v>221</v>
      </c>
      <c r="G61" t="str" cm="1">
        <f t="array" ref="G61">_xlfn.IFS(C60&lt;=1000,"LOW",C60&lt;=2500,"MEDIUM",C60&gt;2500,"HIGH")</f>
        <v>LOW</v>
      </c>
    </row>
    <row r="62" spans="1:7" x14ac:dyDescent="0.3">
      <c r="A62" s="44" t="s">
        <v>209</v>
      </c>
      <c r="B62" s="45" t="s">
        <v>264</v>
      </c>
      <c r="C62" s="45">
        <v>966</v>
      </c>
      <c r="D62" s="45" t="s">
        <v>222</v>
      </c>
      <c r="E62" s="46">
        <v>41741</v>
      </c>
      <c r="F62" s="47" t="s">
        <v>216</v>
      </c>
      <c r="G62" t="str" cm="1">
        <f t="array" ref="G62">_xlfn.IFS(C61&lt;=1000,"LOW",C61&lt;=2500,"MEDIUM",C61&gt;2500,"HIGH")</f>
        <v>LOW</v>
      </c>
    </row>
    <row r="63" spans="1:7" x14ac:dyDescent="0.3">
      <c r="A63" s="44" t="s">
        <v>213</v>
      </c>
      <c r="B63" s="45" t="s">
        <v>266</v>
      </c>
      <c r="C63" s="45">
        <v>969</v>
      </c>
      <c r="D63" s="45" t="s">
        <v>215</v>
      </c>
      <c r="E63" s="46">
        <v>42039</v>
      </c>
      <c r="F63" s="47" t="s">
        <v>212</v>
      </c>
      <c r="G63" t="str" cm="1">
        <f t="array" ref="G63">_xlfn.IFS(C62&lt;=1000,"LOW",C62&lt;=2500,"MEDIUM",C62&gt;2500,"HIGH")</f>
        <v>LOW</v>
      </c>
    </row>
    <row r="64" spans="1:7" x14ac:dyDescent="0.3">
      <c r="A64" s="44" t="s">
        <v>231</v>
      </c>
      <c r="B64" s="45" t="s">
        <v>271</v>
      </c>
      <c r="C64" s="45">
        <v>970</v>
      </c>
      <c r="D64" s="45" t="s">
        <v>245</v>
      </c>
      <c r="E64" s="46">
        <v>41860</v>
      </c>
      <c r="F64" s="47" t="s">
        <v>228</v>
      </c>
      <c r="G64" t="str" cm="1">
        <f t="array" ref="G64">_xlfn.IFS(C63&lt;=1000,"LOW",C63&lt;=2500,"MEDIUM",C63&gt;2500,"HIGH")</f>
        <v>LOW</v>
      </c>
    </row>
    <row r="65" spans="1:7" x14ac:dyDescent="0.3">
      <c r="A65" s="44" t="s">
        <v>213</v>
      </c>
      <c r="B65" s="45" t="s">
        <v>278</v>
      </c>
      <c r="C65" s="45">
        <v>972</v>
      </c>
      <c r="D65" s="45" t="s">
        <v>254</v>
      </c>
      <c r="E65" s="46">
        <v>42322</v>
      </c>
      <c r="F65" s="47" t="s">
        <v>221</v>
      </c>
      <c r="G65" t="str" cm="1">
        <f t="array" ref="G65">_xlfn.IFS(C64&lt;=1000,"LOW",C64&lt;=2500,"MEDIUM",C64&gt;2500,"HIGH")</f>
        <v>LOW</v>
      </c>
    </row>
    <row r="66" spans="1:7" x14ac:dyDescent="0.3">
      <c r="A66" s="44" t="s">
        <v>231</v>
      </c>
      <c r="B66" s="45" t="s">
        <v>279</v>
      </c>
      <c r="C66" s="45">
        <v>973</v>
      </c>
      <c r="D66" s="45" t="s">
        <v>254</v>
      </c>
      <c r="E66" s="46">
        <v>42339</v>
      </c>
      <c r="F66" s="47" t="s">
        <v>221</v>
      </c>
      <c r="G66" t="str" cm="1">
        <f t="array" ref="G66">_xlfn.IFS(C65&lt;=1000,"LOW",C65&lt;=2500,"MEDIUM",C65&gt;2500,"HIGH")</f>
        <v>LOW</v>
      </c>
    </row>
    <row r="67" spans="1:7" x14ac:dyDescent="0.3">
      <c r="A67" s="44" t="s">
        <v>209</v>
      </c>
      <c r="B67" s="45" t="s">
        <v>242</v>
      </c>
      <c r="C67" s="45">
        <v>982</v>
      </c>
      <c r="D67" s="45" t="s">
        <v>222</v>
      </c>
      <c r="E67" s="46">
        <v>42174</v>
      </c>
      <c r="F67" s="47" t="s">
        <v>216</v>
      </c>
      <c r="G67" t="str" cm="1">
        <f t="array" ref="G67">_xlfn.IFS(C66&lt;=1000,"LOW",C66&lt;=2500,"MEDIUM",C66&gt;2500,"HIGH")</f>
        <v>LOW</v>
      </c>
    </row>
    <row r="68" spans="1:7" x14ac:dyDescent="0.3">
      <c r="A68" s="44" t="s">
        <v>223</v>
      </c>
      <c r="B68" s="45" t="s">
        <v>280</v>
      </c>
      <c r="C68" s="45">
        <v>991</v>
      </c>
      <c r="D68" s="45" t="s">
        <v>215</v>
      </c>
      <c r="E68" s="46">
        <v>42144</v>
      </c>
      <c r="F68" s="47" t="s">
        <v>216</v>
      </c>
      <c r="G68" t="str" cm="1">
        <f t="array" ref="G68">_xlfn.IFS(C67&lt;=1000,"LOW",C67&lt;=2500,"MEDIUM",C67&gt;2500,"HIGH")</f>
        <v>LOW</v>
      </c>
    </row>
    <row r="69" spans="1:7" x14ac:dyDescent="0.3">
      <c r="A69" s="44" t="s">
        <v>233</v>
      </c>
      <c r="B69" s="45" t="s">
        <v>281</v>
      </c>
      <c r="C69" s="45">
        <v>991</v>
      </c>
      <c r="D69" s="45" t="s">
        <v>225</v>
      </c>
      <c r="E69" s="46">
        <v>41842</v>
      </c>
      <c r="F69" s="47" t="s">
        <v>228</v>
      </c>
      <c r="G69" t="str" cm="1">
        <f t="array" ref="G69">_xlfn.IFS(C68&lt;=1000,"LOW",C68&lt;=2500,"MEDIUM",C68&gt;2500,"HIGH")</f>
        <v>LOW</v>
      </c>
    </row>
    <row r="70" spans="1:7" x14ac:dyDescent="0.3">
      <c r="A70" s="44" t="s">
        <v>223</v>
      </c>
      <c r="B70" s="45" t="s">
        <v>282</v>
      </c>
      <c r="C70" s="45">
        <v>998</v>
      </c>
      <c r="D70" s="45" t="s">
        <v>215</v>
      </c>
      <c r="E70" s="46">
        <v>41680</v>
      </c>
      <c r="F70" s="47" t="s">
        <v>212</v>
      </c>
      <c r="G70" t="str" cm="1">
        <f t="array" ref="G70">_xlfn.IFS(C69&lt;=1000,"LOW",C69&lt;=2500,"MEDIUM",C69&gt;2500,"HIGH")</f>
        <v>LOW</v>
      </c>
    </row>
    <row r="71" spans="1:7" x14ac:dyDescent="0.3">
      <c r="A71" s="44" t="s">
        <v>223</v>
      </c>
      <c r="B71" s="45" t="s">
        <v>263</v>
      </c>
      <c r="C71" s="45">
        <v>1004</v>
      </c>
      <c r="D71" s="45" t="s">
        <v>254</v>
      </c>
      <c r="E71" s="46">
        <v>42207</v>
      </c>
      <c r="F71" s="47" t="s">
        <v>228</v>
      </c>
      <c r="G71" t="str" cm="1">
        <f t="array" ref="G71">_xlfn.IFS(C70&lt;=1000,"LOW",C70&lt;=2500,"MEDIUM",C70&gt;2500,"HIGH")</f>
        <v>LOW</v>
      </c>
    </row>
    <row r="72" spans="1:7" x14ac:dyDescent="0.3">
      <c r="A72" s="44" t="s">
        <v>223</v>
      </c>
      <c r="B72" s="45" t="s">
        <v>263</v>
      </c>
      <c r="C72" s="45">
        <v>1008</v>
      </c>
      <c r="D72" s="45" t="s">
        <v>245</v>
      </c>
      <c r="E72" s="46">
        <v>42029</v>
      </c>
      <c r="F72" s="47" t="s">
        <v>212</v>
      </c>
      <c r="G72" t="str" cm="1">
        <f t="array" ref="G72">_xlfn.IFS(C71&lt;=1000,"LOW",C71&lt;=2500,"MEDIUM",C71&gt;2500,"HIGH")</f>
        <v>MEDIUM</v>
      </c>
    </row>
    <row r="73" spans="1:7" x14ac:dyDescent="0.3">
      <c r="A73" s="44" t="s">
        <v>236</v>
      </c>
      <c r="B73" s="45" t="s">
        <v>237</v>
      </c>
      <c r="C73" s="45">
        <v>1010</v>
      </c>
      <c r="D73" s="45" t="s">
        <v>235</v>
      </c>
      <c r="E73" s="46">
        <v>42347</v>
      </c>
      <c r="F73" s="47" t="s">
        <v>221</v>
      </c>
      <c r="G73" t="str" cm="1">
        <f t="array" ref="G73">_xlfn.IFS(C72&lt;=1000,"LOW",C72&lt;=2500,"MEDIUM",C72&gt;2500,"HIGH")</f>
        <v>MEDIUM</v>
      </c>
    </row>
    <row r="74" spans="1:7" x14ac:dyDescent="0.3">
      <c r="A74" s="44" t="s">
        <v>231</v>
      </c>
      <c r="B74" s="45" t="s">
        <v>257</v>
      </c>
      <c r="C74" s="45">
        <v>1013</v>
      </c>
      <c r="D74" s="45" t="s">
        <v>218</v>
      </c>
      <c r="E74" s="46">
        <v>42136</v>
      </c>
      <c r="F74" s="47" t="s">
        <v>216</v>
      </c>
      <c r="G74" t="str" cm="1">
        <f t="array" ref="G74">_xlfn.IFS(C73&lt;=1000,"LOW",C73&lt;=2500,"MEDIUM",C73&gt;2500,"HIGH")</f>
        <v>MEDIUM</v>
      </c>
    </row>
    <row r="75" spans="1:7" x14ac:dyDescent="0.3">
      <c r="A75" s="44" t="s">
        <v>233</v>
      </c>
      <c r="B75" s="45" t="s">
        <v>248</v>
      </c>
      <c r="C75" s="45">
        <v>1015</v>
      </c>
      <c r="D75" s="45" t="s">
        <v>235</v>
      </c>
      <c r="E75" s="46">
        <v>42065</v>
      </c>
      <c r="F75" s="47" t="s">
        <v>212</v>
      </c>
      <c r="G75" t="str" cm="1">
        <f t="array" ref="G75">_xlfn.IFS(C74&lt;=1000,"LOW",C74&lt;=2500,"MEDIUM",C74&gt;2500,"HIGH")</f>
        <v>MEDIUM</v>
      </c>
    </row>
    <row r="76" spans="1:7" x14ac:dyDescent="0.3">
      <c r="A76" s="44" t="s">
        <v>239</v>
      </c>
      <c r="B76" s="45" t="s">
        <v>269</v>
      </c>
      <c r="C76" s="45">
        <v>1015</v>
      </c>
      <c r="D76" s="45" t="s">
        <v>254</v>
      </c>
      <c r="E76" s="46">
        <v>42103</v>
      </c>
      <c r="F76" s="47" t="s">
        <v>216</v>
      </c>
      <c r="G76" t="str" cm="1">
        <f t="array" ref="G76">_xlfn.IFS(C75&lt;=1000,"LOW",C75&lt;=2500,"MEDIUM",C75&gt;2500,"HIGH")</f>
        <v>MEDIUM</v>
      </c>
    </row>
    <row r="77" spans="1:7" x14ac:dyDescent="0.3">
      <c r="A77" s="44" t="s">
        <v>223</v>
      </c>
      <c r="B77" s="45" t="s">
        <v>249</v>
      </c>
      <c r="C77" s="45">
        <v>1017</v>
      </c>
      <c r="D77" s="45" t="s">
        <v>211</v>
      </c>
      <c r="E77" s="46">
        <v>42265</v>
      </c>
      <c r="F77" s="47" t="s">
        <v>228</v>
      </c>
      <c r="G77" t="str" cm="1">
        <f t="array" ref="G77">_xlfn.IFS(C76&lt;=1000,"LOW",C76&lt;=2500,"MEDIUM",C76&gt;2500,"HIGH")</f>
        <v>MEDIUM</v>
      </c>
    </row>
    <row r="78" spans="1:7" x14ac:dyDescent="0.3">
      <c r="A78" s="44" t="s">
        <v>231</v>
      </c>
      <c r="B78" s="45" t="s">
        <v>271</v>
      </c>
      <c r="C78" s="45">
        <v>1018</v>
      </c>
      <c r="D78" s="45" t="s">
        <v>220</v>
      </c>
      <c r="E78" s="46">
        <v>41775</v>
      </c>
      <c r="F78" s="47" t="s">
        <v>216</v>
      </c>
      <c r="G78" t="str" cm="1">
        <f t="array" ref="G78">_xlfn.IFS(C77&lt;=1000,"LOW",C77&lt;=2500,"MEDIUM",C77&gt;2500,"HIGH")</f>
        <v>MEDIUM</v>
      </c>
    </row>
    <row r="79" spans="1:7" x14ac:dyDescent="0.3">
      <c r="A79" s="44" t="s">
        <v>213</v>
      </c>
      <c r="B79" s="45" t="s">
        <v>277</v>
      </c>
      <c r="C79" s="45">
        <v>1018</v>
      </c>
      <c r="D79" s="45" t="s">
        <v>215</v>
      </c>
      <c r="E79" s="46">
        <v>41838</v>
      </c>
      <c r="F79" s="47" t="s">
        <v>228</v>
      </c>
      <c r="G79" t="str" cm="1">
        <f t="array" ref="G79">_xlfn.IFS(C78&lt;=1000,"LOW",C78&lt;=2500,"MEDIUM",C78&gt;2500,"HIGH")</f>
        <v>MEDIUM</v>
      </c>
    </row>
    <row r="80" spans="1:7" x14ac:dyDescent="0.3">
      <c r="A80" s="44" t="s">
        <v>233</v>
      </c>
      <c r="B80" s="45" t="s">
        <v>255</v>
      </c>
      <c r="C80" s="45">
        <v>1019</v>
      </c>
      <c r="D80" s="45" t="s">
        <v>222</v>
      </c>
      <c r="E80" s="46">
        <v>41981</v>
      </c>
      <c r="F80" s="47" t="s">
        <v>221</v>
      </c>
      <c r="G80" t="str" cm="1">
        <f t="array" ref="G80">_xlfn.IFS(C79&lt;=1000,"LOW",C79&lt;=2500,"MEDIUM",C79&gt;2500,"HIGH")</f>
        <v>MEDIUM</v>
      </c>
    </row>
    <row r="81" spans="1:7" x14ac:dyDescent="0.3">
      <c r="A81" s="44" t="s">
        <v>246</v>
      </c>
      <c r="B81" s="45" t="s">
        <v>262</v>
      </c>
      <c r="C81" s="45">
        <v>1022</v>
      </c>
      <c r="D81" s="45" t="s">
        <v>215</v>
      </c>
      <c r="E81" s="46">
        <v>42017</v>
      </c>
      <c r="F81" s="47" t="s">
        <v>212</v>
      </c>
      <c r="G81" t="str" cm="1">
        <f t="array" ref="G81">_xlfn.IFS(C80&lt;=1000,"LOW",C80&lt;=2500,"MEDIUM",C80&gt;2500,"HIGH")</f>
        <v>MEDIUM</v>
      </c>
    </row>
    <row r="82" spans="1:7" x14ac:dyDescent="0.3">
      <c r="A82" s="44" t="s">
        <v>239</v>
      </c>
      <c r="B82" s="45" t="s">
        <v>272</v>
      </c>
      <c r="C82" s="45">
        <v>1022</v>
      </c>
      <c r="D82" s="45" t="s">
        <v>225</v>
      </c>
      <c r="E82" s="46">
        <v>41779</v>
      </c>
      <c r="F82" s="47" t="s">
        <v>216</v>
      </c>
      <c r="G82" t="str" cm="1">
        <f t="array" ref="G82">_xlfn.IFS(C81&lt;=1000,"LOW",C81&lt;=2500,"MEDIUM",C81&gt;2500,"HIGH")</f>
        <v>MEDIUM</v>
      </c>
    </row>
    <row r="83" spans="1:7" x14ac:dyDescent="0.3">
      <c r="A83" s="44" t="s">
        <v>233</v>
      </c>
      <c r="B83" s="45" t="s">
        <v>250</v>
      </c>
      <c r="C83" s="45">
        <v>1033</v>
      </c>
      <c r="D83" s="45" t="s">
        <v>222</v>
      </c>
      <c r="E83" s="46">
        <v>41688</v>
      </c>
      <c r="F83" s="47" t="s">
        <v>212</v>
      </c>
      <c r="G83" t="str" cm="1">
        <f t="array" ref="G83">_xlfn.IFS(C82&lt;=1000,"LOW",C82&lt;=2500,"MEDIUM",C82&gt;2500,"HIGH")</f>
        <v>MEDIUM</v>
      </c>
    </row>
    <row r="84" spans="1:7" x14ac:dyDescent="0.3">
      <c r="A84" s="44" t="s">
        <v>223</v>
      </c>
      <c r="B84" s="45" t="s">
        <v>282</v>
      </c>
      <c r="C84" s="45">
        <v>1034</v>
      </c>
      <c r="D84" s="45" t="s">
        <v>211</v>
      </c>
      <c r="E84" s="46">
        <v>42254</v>
      </c>
      <c r="F84" s="47" t="s">
        <v>228</v>
      </c>
      <c r="G84" t="str" cm="1">
        <f t="array" ref="G84">_xlfn.IFS(C83&lt;=1000,"LOW",C83&lt;=2500,"MEDIUM",C83&gt;2500,"HIGH")</f>
        <v>MEDIUM</v>
      </c>
    </row>
    <row r="85" spans="1:7" x14ac:dyDescent="0.3">
      <c r="A85" s="44" t="s">
        <v>233</v>
      </c>
      <c r="B85" s="45" t="s">
        <v>283</v>
      </c>
      <c r="C85" s="45">
        <v>1037</v>
      </c>
      <c r="D85" s="45" t="s">
        <v>245</v>
      </c>
      <c r="E85" s="46">
        <v>42164</v>
      </c>
      <c r="F85" s="47" t="s">
        <v>216</v>
      </c>
      <c r="G85" t="str" cm="1">
        <f t="array" ref="G85">_xlfn.IFS(C84&lt;=1000,"LOW",C84&lt;=2500,"MEDIUM",C84&gt;2500,"HIGH")</f>
        <v>MEDIUM</v>
      </c>
    </row>
    <row r="86" spans="1:7" x14ac:dyDescent="0.3">
      <c r="A86" s="44" t="s">
        <v>209</v>
      </c>
      <c r="B86" s="45" t="s">
        <v>270</v>
      </c>
      <c r="C86" s="45">
        <v>1037</v>
      </c>
      <c r="D86" s="45" t="s">
        <v>218</v>
      </c>
      <c r="E86" s="46">
        <v>41885</v>
      </c>
      <c r="F86" s="47" t="s">
        <v>228</v>
      </c>
      <c r="G86" t="str" cm="1">
        <f t="array" ref="G86">_xlfn.IFS(C85&lt;=1000,"LOW",C85&lt;=2500,"MEDIUM",C85&gt;2500,"HIGH")</f>
        <v>MEDIUM</v>
      </c>
    </row>
    <row r="87" spans="1:7" x14ac:dyDescent="0.3">
      <c r="A87" s="44" t="s">
        <v>236</v>
      </c>
      <c r="B87" s="45" t="s">
        <v>284</v>
      </c>
      <c r="C87" s="45">
        <v>1041</v>
      </c>
      <c r="D87" s="45" t="s">
        <v>211</v>
      </c>
      <c r="E87" s="46">
        <v>42301</v>
      </c>
      <c r="F87" s="47" t="s">
        <v>221</v>
      </c>
      <c r="G87" t="str" cm="1">
        <f t="array" ref="G87">_xlfn.IFS(C86&lt;=1000,"LOW",C86&lt;=2500,"MEDIUM",C86&gt;2500,"HIGH")</f>
        <v>MEDIUM</v>
      </c>
    </row>
    <row r="88" spans="1:7" x14ac:dyDescent="0.3">
      <c r="A88" s="44" t="s">
        <v>233</v>
      </c>
      <c r="B88" s="45" t="s">
        <v>285</v>
      </c>
      <c r="C88" s="45">
        <v>1044</v>
      </c>
      <c r="D88" s="45" t="s">
        <v>211</v>
      </c>
      <c r="E88" s="46">
        <v>42345</v>
      </c>
      <c r="F88" s="47" t="s">
        <v>221</v>
      </c>
      <c r="G88" t="str" cm="1">
        <f t="array" ref="G88">_xlfn.IFS(C87&lt;=1000,"LOW",C87&lt;=2500,"MEDIUM",C87&gt;2500,"HIGH")</f>
        <v>MEDIUM</v>
      </c>
    </row>
    <row r="89" spans="1:7" x14ac:dyDescent="0.3">
      <c r="A89" s="44" t="s">
        <v>236</v>
      </c>
      <c r="B89" s="45" t="s">
        <v>286</v>
      </c>
      <c r="C89" s="45">
        <v>1047</v>
      </c>
      <c r="D89" s="45" t="s">
        <v>230</v>
      </c>
      <c r="E89" s="46">
        <v>41999</v>
      </c>
      <c r="F89" s="47" t="s">
        <v>221</v>
      </c>
      <c r="G89" t="str" cm="1">
        <f t="array" ref="G89">_xlfn.IFS(C88&lt;=1000,"LOW",C88&lt;=2500,"MEDIUM",C88&gt;2500,"HIGH")</f>
        <v>MEDIUM</v>
      </c>
    </row>
    <row r="90" spans="1:7" x14ac:dyDescent="0.3">
      <c r="A90" s="44" t="s">
        <v>223</v>
      </c>
      <c r="B90" s="45" t="s">
        <v>282</v>
      </c>
      <c r="C90" s="45">
        <v>1050</v>
      </c>
      <c r="D90" s="45" t="s">
        <v>222</v>
      </c>
      <c r="E90" s="46">
        <v>42032</v>
      </c>
      <c r="F90" s="47" t="s">
        <v>212</v>
      </c>
      <c r="G90" t="str" cm="1">
        <f t="array" ref="G90">_xlfn.IFS(C89&lt;=1000,"LOW",C89&lt;=2500,"MEDIUM",C89&gt;2500,"HIGH")</f>
        <v>MEDIUM</v>
      </c>
    </row>
    <row r="91" spans="1:7" x14ac:dyDescent="0.3">
      <c r="A91" s="44" t="s">
        <v>246</v>
      </c>
      <c r="B91" s="45" t="s">
        <v>287</v>
      </c>
      <c r="C91" s="45">
        <v>1054</v>
      </c>
      <c r="D91" s="45" t="s">
        <v>254</v>
      </c>
      <c r="E91" s="46">
        <v>41681</v>
      </c>
      <c r="F91" s="47" t="s">
        <v>212</v>
      </c>
      <c r="G91" t="str" cm="1">
        <f t="array" ref="G91">_xlfn.IFS(C90&lt;=1000,"LOW",C90&lt;=2500,"MEDIUM",C90&gt;2500,"HIGH")</f>
        <v>MEDIUM</v>
      </c>
    </row>
    <row r="92" spans="1:7" x14ac:dyDescent="0.3">
      <c r="A92" s="44" t="s">
        <v>213</v>
      </c>
      <c r="B92" s="45" t="s">
        <v>288</v>
      </c>
      <c r="C92" s="45">
        <v>1054</v>
      </c>
      <c r="D92" s="45" t="s">
        <v>230</v>
      </c>
      <c r="E92" s="46">
        <v>41952</v>
      </c>
      <c r="F92" s="47" t="s">
        <v>221</v>
      </c>
      <c r="G92" t="str" cm="1">
        <f t="array" ref="G92">_xlfn.IFS(C91&lt;=1000,"LOW",C91&lt;=2500,"MEDIUM",C91&gt;2500,"HIGH")</f>
        <v>MEDIUM</v>
      </c>
    </row>
    <row r="93" spans="1:7" x14ac:dyDescent="0.3">
      <c r="A93" s="44" t="s">
        <v>223</v>
      </c>
      <c r="B93" s="45" t="s">
        <v>227</v>
      </c>
      <c r="C93" s="45">
        <v>1057</v>
      </c>
      <c r="D93" s="45" t="s">
        <v>245</v>
      </c>
      <c r="E93" s="46">
        <v>42250</v>
      </c>
      <c r="F93" s="47" t="s">
        <v>228</v>
      </c>
      <c r="G93" t="str" cm="1">
        <f t="array" ref="G93">_xlfn.IFS(C92&lt;=1000,"LOW",C92&lt;=2500,"MEDIUM",C92&gt;2500,"HIGH")</f>
        <v>MEDIUM</v>
      </c>
    </row>
    <row r="94" spans="1:7" x14ac:dyDescent="0.3">
      <c r="A94" s="44" t="s">
        <v>231</v>
      </c>
      <c r="B94" s="45" t="s">
        <v>289</v>
      </c>
      <c r="C94" s="45">
        <v>1059</v>
      </c>
      <c r="D94" s="45" t="s">
        <v>225</v>
      </c>
      <c r="E94" s="46">
        <v>42140</v>
      </c>
      <c r="F94" s="47" t="s">
        <v>216</v>
      </c>
      <c r="G94" t="str" cm="1">
        <f t="array" ref="G94">_xlfn.IFS(C93&lt;=1000,"LOW",C93&lt;=2500,"MEDIUM",C93&gt;2500,"HIGH")</f>
        <v>MEDIUM</v>
      </c>
    </row>
    <row r="95" spans="1:7" x14ac:dyDescent="0.3">
      <c r="A95" s="44" t="s">
        <v>246</v>
      </c>
      <c r="B95" s="45" t="s">
        <v>262</v>
      </c>
      <c r="C95" s="45">
        <v>1064</v>
      </c>
      <c r="D95" s="45" t="s">
        <v>225</v>
      </c>
      <c r="E95" s="46">
        <v>41752</v>
      </c>
      <c r="F95" s="47" t="s">
        <v>216</v>
      </c>
      <c r="G95" t="str" cm="1">
        <f t="array" ref="G95">_xlfn.IFS(C94&lt;=1000,"LOW",C94&lt;=2500,"MEDIUM",C94&gt;2500,"HIGH")</f>
        <v>MEDIUM</v>
      </c>
    </row>
    <row r="96" spans="1:7" x14ac:dyDescent="0.3">
      <c r="A96" s="44" t="s">
        <v>209</v>
      </c>
      <c r="B96" s="45" t="s">
        <v>219</v>
      </c>
      <c r="C96" s="45">
        <v>1065</v>
      </c>
      <c r="D96" s="45" t="s">
        <v>245</v>
      </c>
      <c r="E96" s="46">
        <v>42244</v>
      </c>
      <c r="F96" s="47" t="s">
        <v>228</v>
      </c>
      <c r="G96" t="str" cm="1">
        <f t="array" ref="G96">_xlfn.IFS(C95&lt;=1000,"LOW",C95&lt;=2500,"MEDIUM",C95&gt;2500,"HIGH")</f>
        <v>MEDIUM</v>
      </c>
    </row>
    <row r="97" spans="1:7" x14ac:dyDescent="0.3">
      <c r="A97" s="44" t="s">
        <v>223</v>
      </c>
      <c r="B97" s="45" t="s">
        <v>263</v>
      </c>
      <c r="C97" s="45">
        <v>1078</v>
      </c>
      <c r="D97" s="45" t="s">
        <v>225</v>
      </c>
      <c r="E97" s="46">
        <v>41988</v>
      </c>
      <c r="F97" s="47" t="s">
        <v>221</v>
      </c>
      <c r="G97" t="str" cm="1">
        <f t="array" ref="G97">_xlfn.IFS(C96&lt;=1000,"LOW",C96&lt;=2500,"MEDIUM",C96&gt;2500,"HIGH")</f>
        <v>MEDIUM</v>
      </c>
    </row>
    <row r="98" spans="1:7" x14ac:dyDescent="0.3">
      <c r="A98" s="44" t="s">
        <v>223</v>
      </c>
      <c r="B98" s="45" t="s">
        <v>227</v>
      </c>
      <c r="C98" s="45">
        <v>1078</v>
      </c>
      <c r="D98" s="45" t="s">
        <v>215</v>
      </c>
      <c r="E98" s="46">
        <v>42291</v>
      </c>
      <c r="F98" s="47" t="s">
        <v>221</v>
      </c>
      <c r="G98" t="str" cm="1">
        <f t="array" ref="G98">_xlfn.IFS(C97&lt;=1000,"LOW",C97&lt;=2500,"MEDIUM",C97&gt;2500,"HIGH")</f>
        <v>MEDIUM</v>
      </c>
    </row>
    <row r="99" spans="1:7" x14ac:dyDescent="0.3">
      <c r="A99" s="44" t="s">
        <v>233</v>
      </c>
      <c r="B99" s="45" t="s">
        <v>250</v>
      </c>
      <c r="C99" s="45">
        <v>1079</v>
      </c>
      <c r="D99" s="45" t="s">
        <v>222</v>
      </c>
      <c r="E99" s="46">
        <v>42050</v>
      </c>
      <c r="F99" s="47" t="s">
        <v>212</v>
      </c>
      <c r="G99" t="str" cm="1">
        <f t="array" ref="G99">_xlfn.IFS(C98&lt;=1000,"LOW",C98&lt;=2500,"MEDIUM",C98&gt;2500,"HIGH")</f>
        <v>MEDIUM</v>
      </c>
    </row>
    <row r="100" spans="1:7" x14ac:dyDescent="0.3">
      <c r="A100" s="44" t="s">
        <v>239</v>
      </c>
      <c r="B100" s="45" t="s">
        <v>269</v>
      </c>
      <c r="C100" s="45">
        <v>1079</v>
      </c>
      <c r="D100" s="45" t="s">
        <v>225</v>
      </c>
      <c r="E100" s="46">
        <v>41690</v>
      </c>
      <c r="F100" s="47" t="s">
        <v>212</v>
      </c>
      <c r="G100" t="str" cm="1">
        <f t="array" ref="G100">_xlfn.IFS(C99&lt;=1000,"LOW",C99&lt;=2500,"MEDIUM",C99&gt;2500,"HIGH")</f>
        <v>MEDIUM</v>
      </c>
    </row>
    <row r="101" spans="1:7" x14ac:dyDescent="0.3">
      <c r="A101" s="44" t="s">
        <v>233</v>
      </c>
      <c r="B101" s="45" t="s">
        <v>248</v>
      </c>
      <c r="C101" s="45">
        <v>1081</v>
      </c>
      <c r="D101" s="45" t="s">
        <v>218</v>
      </c>
      <c r="E101" s="46">
        <v>42022</v>
      </c>
      <c r="F101" s="47" t="s">
        <v>212</v>
      </c>
      <c r="G101" t="str" cm="1">
        <f t="array" ref="G101">_xlfn.IFS(C100&lt;=1000,"LOW",C100&lt;=2500,"MEDIUM",C100&gt;2500,"HIGH")</f>
        <v>MEDIUM</v>
      </c>
    </row>
    <row r="102" spans="1:7" x14ac:dyDescent="0.3">
      <c r="A102" s="44" t="s">
        <v>209</v>
      </c>
      <c r="B102" s="45" t="s">
        <v>242</v>
      </c>
      <c r="C102" s="45">
        <v>1081</v>
      </c>
      <c r="D102" s="45" t="s">
        <v>254</v>
      </c>
      <c r="E102" s="46">
        <v>42187</v>
      </c>
      <c r="F102" s="47" t="s">
        <v>228</v>
      </c>
      <c r="G102" t="str" cm="1">
        <f t="array" ref="G102">_xlfn.IFS(C101&lt;=1000,"LOW",C101&lt;=2500,"MEDIUM",C101&gt;2500,"HIGH")</f>
        <v>MEDIUM</v>
      </c>
    </row>
    <row r="103" spans="1:7" x14ac:dyDescent="0.3">
      <c r="A103" s="44" t="s">
        <v>246</v>
      </c>
      <c r="B103" s="45" t="s">
        <v>262</v>
      </c>
      <c r="C103" s="45">
        <v>1083</v>
      </c>
      <c r="D103" s="45" t="s">
        <v>218</v>
      </c>
      <c r="E103" s="46">
        <v>42014</v>
      </c>
      <c r="F103" s="47" t="s">
        <v>212</v>
      </c>
      <c r="G103" t="str" cm="1">
        <f t="array" ref="G103">_xlfn.IFS(C102&lt;=1000,"LOW",C102&lt;=2500,"MEDIUM",C102&gt;2500,"HIGH")</f>
        <v>MEDIUM</v>
      </c>
    </row>
    <row r="104" spans="1:7" x14ac:dyDescent="0.3">
      <c r="A104" s="44" t="s">
        <v>233</v>
      </c>
      <c r="B104" s="45" t="s">
        <v>265</v>
      </c>
      <c r="C104" s="45">
        <v>1093</v>
      </c>
      <c r="D104" s="45" t="s">
        <v>220</v>
      </c>
      <c r="E104" s="46">
        <v>41795</v>
      </c>
      <c r="F104" s="47" t="s">
        <v>216</v>
      </c>
      <c r="G104" t="str" cm="1">
        <f t="array" ref="G104">_xlfn.IFS(C103&lt;=1000,"LOW",C103&lt;=2500,"MEDIUM",C103&gt;2500,"HIGH")</f>
        <v>MEDIUM</v>
      </c>
    </row>
    <row r="105" spans="1:7" x14ac:dyDescent="0.3">
      <c r="A105" s="44" t="s">
        <v>223</v>
      </c>
      <c r="B105" s="45" t="s">
        <v>290</v>
      </c>
      <c r="C105" s="45">
        <v>1095</v>
      </c>
      <c r="D105" s="45" t="s">
        <v>218</v>
      </c>
      <c r="E105" s="46">
        <v>42168</v>
      </c>
      <c r="F105" s="47" t="s">
        <v>216</v>
      </c>
      <c r="G105" t="str" cm="1">
        <f t="array" ref="G105">_xlfn.IFS(C104&lt;=1000,"LOW",C104&lt;=2500,"MEDIUM",C104&gt;2500,"HIGH")</f>
        <v>MEDIUM</v>
      </c>
    </row>
    <row r="106" spans="1:7" x14ac:dyDescent="0.3">
      <c r="A106" s="44" t="s">
        <v>236</v>
      </c>
      <c r="B106" s="45" t="s">
        <v>291</v>
      </c>
      <c r="C106" s="45">
        <v>1104</v>
      </c>
      <c r="D106" s="45" t="s">
        <v>215</v>
      </c>
      <c r="E106" s="46">
        <v>41963</v>
      </c>
      <c r="F106" s="47" t="s">
        <v>221</v>
      </c>
      <c r="G106" t="str" cm="1">
        <f t="array" ref="G106">_xlfn.IFS(C105&lt;=1000,"LOW",C105&lt;=2500,"MEDIUM",C105&gt;2500,"HIGH")</f>
        <v>MEDIUM</v>
      </c>
    </row>
    <row r="107" spans="1:7" x14ac:dyDescent="0.3">
      <c r="A107" s="44" t="s">
        <v>236</v>
      </c>
      <c r="B107" s="45" t="s">
        <v>292</v>
      </c>
      <c r="C107" s="45">
        <v>1111</v>
      </c>
      <c r="D107" s="45" t="s">
        <v>220</v>
      </c>
      <c r="E107" s="46">
        <v>42158</v>
      </c>
      <c r="F107" s="47" t="s">
        <v>216</v>
      </c>
      <c r="G107" t="str" cm="1">
        <f t="array" ref="G107">_xlfn.IFS(C106&lt;=1000,"LOW",C106&lt;=2500,"MEDIUM",C106&gt;2500,"HIGH")</f>
        <v>MEDIUM</v>
      </c>
    </row>
    <row r="108" spans="1:7" x14ac:dyDescent="0.3">
      <c r="A108" s="44" t="s">
        <v>223</v>
      </c>
      <c r="B108" s="45" t="s">
        <v>249</v>
      </c>
      <c r="C108" s="45">
        <v>1114</v>
      </c>
      <c r="D108" s="45" t="s">
        <v>218</v>
      </c>
      <c r="E108" s="46">
        <v>42029</v>
      </c>
      <c r="F108" s="47" t="s">
        <v>212</v>
      </c>
      <c r="G108" t="str" cm="1">
        <f t="array" ref="G108">_xlfn.IFS(C107&lt;=1000,"LOW",C107&lt;=2500,"MEDIUM",C107&gt;2500,"HIGH")</f>
        <v>MEDIUM</v>
      </c>
    </row>
    <row r="109" spans="1:7" x14ac:dyDescent="0.3">
      <c r="A109" s="44" t="s">
        <v>239</v>
      </c>
      <c r="B109" s="45" t="s">
        <v>272</v>
      </c>
      <c r="C109" s="45">
        <v>1115</v>
      </c>
      <c r="D109" s="45" t="s">
        <v>222</v>
      </c>
      <c r="E109" s="46">
        <v>41768</v>
      </c>
      <c r="F109" s="47" t="s">
        <v>216</v>
      </c>
      <c r="G109" t="str" cm="1">
        <f t="array" ref="G109">_xlfn.IFS(C108&lt;=1000,"LOW",C108&lt;=2500,"MEDIUM",C108&gt;2500,"HIGH")</f>
        <v>MEDIUM</v>
      </c>
    </row>
    <row r="110" spans="1:7" x14ac:dyDescent="0.3">
      <c r="A110" s="44" t="s">
        <v>223</v>
      </c>
      <c r="B110" s="45" t="s">
        <v>293</v>
      </c>
      <c r="C110" s="45">
        <v>1115</v>
      </c>
      <c r="D110" s="45" t="s">
        <v>215</v>
      </c>
      <c r="E110" s="46">
        <v>42292</v>
      </c>
      <c r="F110" s="47" t="s">
        <v>221</v>
      </c>
      <c r="G110" t="str" cm="1">
        <f t="array" ref="G110">_xlfn.IFS(C109&lt;=1000,"LOW",C109&lt;=2500,"MEDIUM",C109&gt;2500,"HIGH")</f>
        <v>MEDIUM</v>
      </c>
    </row>
    <row r="111" spans="1:7" x14ac:dyDescent="0.3">
      <c r="A111" s="44" t="s">
        <v>223</v>
      </c>
      <c r="B111" s="45" t="s">
        <v>241</v>
      </c>
      <c r="C111" s="45">
        <v>1118</v>
      </c>
      <c r="D111" s="45" t="s">
        <v>220</v>
      </c>
      <c r="E111" s="46">
        <v>41839</v>
      </c>
      <c r="F111" s="47" t="s">
        <v>228</v>
      </c>
      <c r="G111" t="str" cm="1">
        <f t="array" ref="G111">_xlfn.IFS(C110&lt;=1000,"LOW",C110&lt;=2500,"MEDIUM",C110&gt;2500,"HIGH")</f>
        <v>MEDIUM</v>
      </c>
    </row>
    <row r="112" spans="1:7" x14ac:dyDescent="0.3">
      <c r="A112" s="44" t="s">
        <v>209</v>
      </c>
      <c r="B112" s="45" t="s">
        <v>264</v>
      </c>
      <c r="C112" s="45">
        <v>1122</v>
      </c>
      <c r="D112" s="45" t="s">
        <v>215</v>
      </c>
      <c r="E112" s="46">
        <v>41691</v>
      </c>
      <c r="F112" s="47" t="s">
        <v>212</v>
      </c>
      <c r="G112" t="str" cm="1">
        <f t="array" ref="G112">_xlfn.IFS(C111&lt;=1000,"LOW",C111&lt;=2500,"MEDIUM",C111&gt;2500,"HIGH")</f>
        <v>MEDIUM</v>
      </c>
    </row>
    <row r="113" spans="1:7" x14ac:dyDescent="0.3">
      <c r="A113" s="44" t="s">
        <v>223</v>
      </c>
      <c r="B113" s="45" t="s">
        <v>259</v>
      </c>
      <c r="C113" s="45">
        <v>1124</v>
      </c>
      <c r="D113" s="45" t="s">
        <v>245</v>
      </c>
      <c r="E113" s="46">
        <v>41687</v>
      </c>
      <c r="F113" s="47" t="s">
        <v>212</v>
      </c>
      <c r="G113" t="str" cm="1">
        <f t="array" ref="G113">_xlfn.IFS(C112&lt;=1000,"LOW",C112&lt;=2500,"MEDIUM",C112&gt;2500,"HIGH")</f>
        <v>MEDIUM</v>
      </c>
    </row>
    <row r="114" spans="1:7" x14ac:dyDescent="0.3">
      <c r="A114" s="44" t="s">
        <v>213</v>
      </c>
      <c r="B114" s="45" t="s">
        <v>277</v>
      </c>
      <c r="C114" s="45">
        <v>1128</v>
      </c>
      <c r="D114" s="45" t="s">
        <v>245</v>
      </c>
      <c r="E114" s="46">
        <v>41742</v>
      </c>
      <c r="F114" s="47" t="s">
        <v>216</v>
      </c>
      <c r="G114" t="str" cm="1">
        <f t="array" ref="G114">_xlfn.IFS(C113&lt;=1000,"LOW",C113&lt;=2500,"MEDIUM",C113&gt;2500,"HIGH")</f>
        <v>MEDIUM</v>
      </c>
    </row>
    <row r="115" spans="1:7" x14ac:dyDescent="0.3">
      <c r="A115" s="44" t="s">
        <v>223</v>
      </c>
      <c r="B115" s="45" t="s">
        <v>241</v>
      </c>
      <c r="C115" s="45">
        <v>1130</v>
      </c>
      <c r="D115" s="45" t="s">
        <v>211</v>
      </c>
      <c r="E115" s="46">
        <v>42065</v>
      </c>
      <c r="F115" s="47" t="s">
        <v>212</v>
      </c>
      <c r="G115" t="str" cm="1">
        <f t="array" ref="G115">_xlfn.IFS(C114&lt;=1000,"LOW",C114&lt;=2500,"MEDIUM",C114&gt;2500,"HIGH")</f>
        <v>MEDIUM</v>
      </c>
    </row>
    <row r="116" spans="1:7" x14ac:dyDescent="0.3">
      <c r="A116" s="44" t="s">
        <v>209</v>
      </c>
      <c r="B116" s="45" t="s">
        <v>261</v>
      </c>
      <c r="C116" s="45">
        <v>1131</v>
      </c>
      <c r="D116" s="45" t="s">
        <v>215</v>
      </c>
      <c r="E116" s="46">
        <v>42221</v>
      </c>
      <c r="F116" s="47" t="s">
        <v>228</v>
      </c>
      <c r="G116" t="str" cm="1">
        <f t="array" ref="G116">_xlfn.IFS(C115&lt;=1000,"LOW",C115&lt;=2500,"MEDIUM",C115&gt;2500,"HIGH")</f>
        <v>MEDIUM</v>
      </c>
    </row>
    <row r="117" spans="1:7" x14ac:dyDescent="0.3">
      <c r="A117" s="44" t="s">
        <v>223</v>
      </c>
      <c r="B117" s="45" t="s">
        <v>241</v>
      </c>
      <c r="C117" s="45">
        <v>1132</v>
      </c>
      <c r="D117" s="45" t="s">
        <v>215</v>
      </c>
      <c r="E117" s="46">
        <v>42314</v>
      </c>
      <c r="F117" s="47" t="s">
        <v>221</v>
      </c>
      <c r="G117" t="str" cm="1">
        <f t="array" ref="G117">_xlfn.IFS(C116&lt;=1000,"LOW",C116&lt;=2500,"MEDIUM",C116&gt;2500,"HIGH")</f>
        <v>MEDIUM</v>
      </c>
    </row>
    <row r="118" spans="1:7" x14ac:dyDescent="0.3">
      <c r="A118" s="44" t="s">
        <v>231</v>
      </c>
      <c r="B118" s="45" t="s">
        <v>232</v>
      </c>
      <c r="C118" s="45">
        <v>1139</v>
      </c>
      <c r="D118" s="45" t="s">
        <v>225</v>
      </c>
      <c r="E118" s="46">
        <v>42053</v>
      </c>
      <c r="F118" s="47" t="s">
        <v>212</v>
      </c>
      <c r="G118" t="str" cm="1">
        <f t="array" ref="G118">_xlfn.IFS(C117&lt;=1000,"LOW",C117&lt;=2500,"MEDIUM",C117&gt;2500,"HIGH")</f>
        <v>MEDIUM</v>
      </c>
    </row>
    <row r="119" spans="1:7" x14ac:dyDescent="0.3">
      <c r="A119" s="44" t="s">
        <v>223</v>
      </c>
      <c r="B119" s="45" t="s">
        <v>280</v>
      </c>
      <c r="C119" s="45">
        <v>1141</v>
      </c>
      <c r="D119" s="45" t="s">
        <v>230</v>
      </c>
      <c r="E119" s="46">
        <v>41868</v>
      </c>
      <c r="F119" s="47" t="s">
        <v>228</v>
      </c>
      <c r="G119" t="str" cm="1">
        <f t="array" ref="G119">_xlfn.IFS(C118&lt;=1000,"LOW",C118&lt;=2500,"MEDIUM",C118&gt;2500,"HIGH")</f>
        <v>MEDIUM</v>
      </c>
    </row>
    <row r="120" spans="1:7" x14ac:dyDescent="0.3">
      <c r="A120" s="44" t="s">
        <v>233</v>
      </c>
      <c r="B120" s="45" t="s">
        <v>260</v>
      </c>
      <c r="C120" s="45">
        <v>1149</v>
      </c>
      <c r="D120" s="45" t="s">
        <v>218</v>
      </c>
      <c r="E120" s="46">
        <v>41980</v>
      </c>
      <c r="F120" s="47" t="s">
        <v>221</v>
      </c>
      <c r="G120" t="str" cm="1">
        <f t="array" ref="G120">_xlfn.IFS(C119&lt;=1000,"LOW",C119&lt;=2500,"MEDIUM",C119&gt;2500,"HIGH")</f>
        <v>MEDIUM</v>
      </c>
    </row>
    <row r="121" spans="1:7" x14ac:dyDescent="0.3">
      <c r="A121" s="44" t="s">
        <v>233</v>
      </c>
      <c r="B121" s="45" t="s">
        <v>250</v>
      </c>
      <c r="C121" s="45">
        <v>1163</v>
      </c>
      <c r="D121" s="45" t="s">
        <v>235</v>
      </c>
      <c r="E121" s="46">
        <v>42309</v>
      </c>
      <c r="F121" s="47" t="s">
        <v>221</v>
      </c>
      <c r="G121" t="str" cm="1">
        <f t="array" ref="G121">_xlfn.IFS(C120&lt;=1000,"LOW",C120&lt;=2500,"MEDIUM",C120&gt;2500,"HIGH")</f>
        <v>MEDIUM</v>
      </c>
    </row>
    <row r="122" spans="1:7" x14ac:dyDescent="0.3">
      <c r="A122" s="44" t="s">
        <v>236</v>
      </c>
      <c r="B122" s="45" t="s">
        <v>294</v>
      </c>
      <c r="C122" s="45">
        <v>1164</v>
      </c>
      <c r="D122" s="45" t="s">
        <v>230</v>
      </c>
      <c r="E122" s="46">
        <v>41686</v>
      </c>
      <c r="F122" s="47" t="s">
        <v>212</v>
      </c>
      <c r="G122" t="str" cm="1">
        <f t="array" ref="G122">_xlfn.IFS(C121&lt;=1000,"LOW",C121&lt;=2500,"MEDIUM",C121&gt;2500,"HIGH")</f>
        <v>MEDIUM</v>
      </c>
    </row>
    <row r="123" spans="1:7" x14ac:dyDescent="0.3">
      <c r="A123" s="44" t="s">
        <v>236</v>
      </c>
      <c r="B123" s="45" t="s">
        <v>291</v>
      </c>
      <c r="C123" s="45">
        <v>1168</v>
      </c>
      <c r="D123" s="45" t="s">
        <v>215</v>
      </c>
      <c r="E123" s="46">
        <v>42085</v>
      </c>
      <c r="F123" s="47" t="s">
        <v>212</v>
      </c>
      <c r="G123" t="str" cm="1">
        <f t="array" ref="G123">_xlfn.IFS(C122&lt;=1000,"LOW",C122&lt;=2500,"MEDIUM",C122&gt;2500,"HIGH")</f>
        <v>MEDIUM</v>
      </c>
    </row>
    <row r="124" spans="1:7" x14ac:dyDescent="0.3">
      <c r="A124" s="44" t="s">
        <v>223</v>
      </c>
      <c r="B124" s="45" t="s">
        <v>282</v>
      </c>
      <c r="C124" s="45">
        <v>1168</v>
      </c>
      <c r="D124" s="45" t="s">
        <v>254</v>
      </c>
      <c r="E124" s="46">
        <v>41806</v>
      </c>
      <c r="F124" s="47" t="s">
        <v>216</v>
      </c>
      <c r="G124" t="str" cm="1">
        <f t="array" ref="G124">_xlfn.IFS(C123&lt;=1000,"LOW",C123&lt;=2500,"MEDIUM",C123&gt;2500,"HIGH")</f>
        <v>MEDIUM</v>
      </c>
    </row>
    <row r="125" spans="1:7" x14ac:dyDescent="0.3">
      <c r="A125" s="44" t="s">
        <v>233</v>
      </c>
      <c r="B125" s="45" t="s">
        <v>252</v>
      </c>
      <c r="C125" s="45">
        <v>1172</v>
      </c>
      <c r="D125" s="45" t="s">
        <v>235</v>
      </c>
      <c r="E125" s="46">
        <v>41754</v>
      </c>
      <c r="F125" s="47" t="s">
        <v>216</v>
      </c>
      <c r="G125" t="str" cm="1">
        <f t="array" ref="G125">_xlfn.IFS(C124&lt;=1000,"LOW",C124&lt;=2500,"MEDIUM",C124&gt;2500,"HIGH")</f>
        <v>MEDIUM</v>
      </c>
    </row>
    <row r="126" spans="1:7" x14ac:dyDescent="0.3">
      <c r="A126" s="44" t="s">
        <v>213</v>
      </c>
      <c r="B126" s="45" t="s">
        <v>288</v>
      </c>
      <c r="C126" s="45">
        <v>1174</v>
      </c>
      <c r="D126" s="45" t="s">
        <v>211</v>
      </c>
      <c r="E126" s="46">
        <v>41821</v>
      </c>
      <c r="F126" s="47" t="s">
        <v>228</v>
      </c>
      <c r="G126" t="str" cm="1">
        <f t="array" ref="G126">_xlfn.IFS(C125&lt;=1000,"LOW",C125&lt;=2500,"MEDIUM",C125&gt;2500,"HIGH")</f>
        <v>MEDIUM</v>
      </c>
    </row>
    <row r="127" spans="1:7" x14ac:dyDescent="0.3">
      <c r="A127" s="44" t="s">
        <v>246</v>
      </c>
      <c r="B127" s="45" t="s">
        <v>262</v>
      </c>
      <c r="C127" s="45">
        <v>1194</v>
      </c>
      <c r="D127" s="45" t="s">
        <v>222</v>
      </c>
      <c r="E127" s="46">
        <v>41718</v>
      </c>
      <c r="F127" s="47" t="s">
        <v>212</v>
      </c>
      <c r="G127" t="str" cm="1">
        <f t="array" ref="G127">_xlfn.IFS(C126&lt;=1000,"LOW",C126&lt;=2500,"MEDIUM",C126&gt;2500,"HIGH")</f>
        <v>MEDIUM</v>
      </c>
    </row>
    <row r="128" spans="1:7" x14ac:dyDescent="0.3">
      <c r="A128" s="44" t="s">
        <v>223</v>
      </c>
      <c r="B128" s="45" t="s">
        <v>280</v>
      </c>
      <c r="C128" s="45">
        <v>1207</v>
      </c>
      <c r="D128" s="45" t="s">
        <v>225</v>
      </c>
      <c r="E128" s="46">
        <v>42208</v>
      </c>
      <c r="F128" s="47" t="s">
        <v>228</v>
      </c>
      <c r="G128" t="str" cm="1">
        <f t="array" ref="G128">_xlfn.IFS(C127&lt;=1000,"LOW",C127&lt;=2500,"MEDIUM",C127&gt;2500,"HIGH")</f>
        <v>MEDIUM</v>
      </c>
    </row>
    <row r="129" spans="1:7" x14ac:dyDescent="0.3">
      <c r="A129" s="44" t="s">
        <v>209</v>
      </c>
      <c r="B129" s="45" t="s">
        <v>210</v>
      </c>
      <c r="C129" s="45">
        <v>1212</v>
      </c>
      <c r="D129" s="45" t="s">
        <v>230</v>
      </c>
      <c r="E129" s="46">
        <v>42000</v>
      </c>
      <c r="F129" s="47" t="s">
        <v>221</v>
      </c>
      <c r="G129" t="str" cm="1">
        <f t="array" ref="G129">_xlfn.IFS(C128&lt;=1000,"LOW",C128&lt;=2500,"MEDIUM",C128&gt;2500,"HIGH")</f>
        <v>MEDIUM</v>
      </c>
    </row>
    <row r="130" spans="1:7" x14ac:dyDescent="0.3">
      <c r="A130" s="44" t="s">
        <v>231</v>
      </c>
      <c r="B130" s="45" t="s">
        <v>244</v>
      </c>
      <c r="C130" s="45">
        <v>1213</v>
      </c>
      <c r="D130" s="45" t="s">
        <v>230</v>
      </c>
      <c r="E130" s="46">
        <v>41898</v>
      </c>
      <c r="F130" s="47" t="s">
        <v>228</v>
      </c>
      <c r="G130" t="str" cm="1">
        <f t="array" ref="G130">_xlfn.IFS(C129&lt;=1000,"LOW",C129&lt;=2500,"MEDIUM",C129&gt;2500,"HIGH")</f>
        <v>MEDIUM</v>
      </c>
    </row>
    <row r="131" spans="1:7" x14ac:dyDescent="0.3">
      <c r="A131" s="44" t="s">
        <v>233</v>
      </c>
      <c r="B131" s="45" t="s">
        <v>260</v>
      </c>
      <c r="C131" s="45">
        <v>1224</v>
      </c>
      <c r="D131" s="45" t="s">
        <v>222</v>
      </c>
      <c r="E131" s="46">
        <v>42119</v>
      </c>
      <c r="F131" s="47" t="s">
        <v>216</v>
      </c>
      <c r="G131" t="str" cm="1">
        <f t="array" ref="G131">_xlfn.IFS(C130&lt;=1000,"LOW",C130&lt;=2500,"MEDIUM",C130&gt;2500,"HIGH")</f>
        <v>MEDIUM</v>
      </c>
    </row>
    <row r="132" spans="1:7" x14ac:dyDescent="0.3">
      <c r="A132" s="44" t="s">
        <v>223</v>
      </c>
      <c r="B132" s="45" t="s">
        <v>295</v>
      </c>
      <c r="C132" s="45">
        <v>1224</v>
      </c>
      <c r="D132" s="45" t="s">
        <v>235</v>
      </c>
      <c r="E132" s="46">
        <v>42128</v>
      </c>
      <c r="F132" s="47" t="s">
        <v>216</v>
      </c>
      <c r="G132" t="str" cm="1">
        <f t="array" ref="G132">_xlfn.IFS(C131&lt;=1000,"LOW",C131&lt;=2500,"MEDIUM",C131&gt;2500,"HIGH")</f>
        <v>MEDIUM</v>
      </c>
    </row>
    <row r="133" spans="1:7" x14ac:dyDescent="0.3">
      <c r="A133" s="44" t="s">
        <v>239</v>
      </c>
      <c r="B133" s="45" t="s">
        <v>240</v>
      </c>
      <c r="C133" s="45">
        <v>1225</v>
      </c>
      <c r="D133" s="45" t="s">
        <v>225</v>
      </c>
      <c r="E133" s="46">
        <v>42079</v>
      </c>
      <c r="F133" s="47" t="s">
        <v>212</v>
      </c>
      <c r="G133" t="str" cm="1">
        <f t="array" ref="G133">_xlfn.IFS(C132&lt;=1000,"LOW",C132&lt;=2500,"MEDIUM",C132&gt;2500,"HIGH")</f>
        <v>MEDIUM</v>
      </c>
    </row>
    <row r="134" spans="1:7" x14ac:dyDescent="0.3">
      <c r="A134" s="44" t="s">
        <v>213</v>
      </c>
      <c r="B134" s="45" t="s">
        <v>277</v>
      </c>
      <c r="C134" s="45">
        <v>1227</v>
      </c>
      <c r="D134" s="45" t="s">
        <v>254</v>
      </c>
      <c r="E134" s="46">
        <v>42051</v>
      </c>
      <c r="F134" s="47" t="s">
        <v>212</v>
      </c>
      <c r="G134" t="str" cm="1">
        <f t="array" ref="G134">_xlfn.IFS(C133&lt;=1000,"LOW",C133&lt;=2500,"MEDIUM",C133&gt;2500,"HIGH")</f>
        <v>MEDIUM</v>
      </c>
    </row>
    <row r="135" spans="1:7" x14ac:dyDescent="0.3">
      <c r="A135" s="44" t="s">
        <v>213</v>
      </c>
      <c r="B135" s="45" t="s">
        <v>268</v>
      </c>
      <c r="C135" s="45">
        <v>1237</v>
      </c>
      <c r="D135" s="45" t="s">
        <v>235</v>
      </c>
      <c r="E135" s="46">
        <v>41737</v>
      </c>
      <c r="F135" s="47" t="s">
        <v>216</v>
      </c>
      <c r="G135" t="str" cm="1">
        <f t="array" ref="G135">_xlfn.IFS(C134&lt;=1000,"LOW",C134&lt;=2500,"MEDIUM",C134&gt;2500,"HIGH")</f>
        <v>MEDIUM</v>
      </c>
    </row>
    <row r="136" spans="1:7" x14ac:dyDescent="0.3">
      <c r="A136" s="44" t="s">
        <v>236</v>
      </c>
      <c r="B136" s="45" t="s">
        <v>296</v>
      </c>
      <c r="C136" s="45">
        <v>1243</v>
      </c>
      <c r="D136" s="45" t="s">
        <v>218</v>
      </c>
      <c r="E136" s="46">
        <v>41764</v>
      </c>
      <c r="F136" s="47" t="s">
        <v>216</v>
      </c>
      <c r="G136" t="str" cm="1">
        <f t="array" ref="G136">_xlfn.IFS(C135&lt;=1000,"LOW",C135&lt;=2500,"MEDIUM",C135&gt;2500,"HIGH")</f>
        <v>MEDIUM</v>
      </c>
    </row>
    <row r="137" spans="1:7" x14ac:dyDescent="0.3">
      <c r="A137" s="44" t="s">
        <v>213</v>
      </c>
      <c r="B137" s="45" t="s">
        <v>256</v>
      </c>
      <c r="C137" s="45">
        <v>1244</v>
      </c>
      <c r="D137" s="45" t="s">
        <v>245</v>
      </c>
      <c r="E137" s="46">
        <v>42122</v>
      </c>
      <c r="F137" s="47" t="s">
        <v>216</v>
      </c>
      <c r="G137" t="str" cm="1">
        <f t="array" ref="G137">_xlfn.IFS(C136&lt;=1000,"LOW",C136&lt;=2500,"MEDIUM",C136&gt;2500,"HIGH")</f>
        <v>MEDIUM</v>
      </c>
    </row>
    <row r="138" spans="1:7" x14ac:dyDescent="0.3">
      <c r="A138" s="44" t="s">
        <v>236</v>
      </c>
      <c r="B138" s="45" t="s">
        <v>292</v>
      </c>
      <c r="C138" s="45">
        <v>1250</v>
      </c>
      <c r="D138" s="45" t="s">
        <v>211</v>
      </c>
      <c r="E138" s="46">
        <v>41696</v>
      </c>
      <c r="F138" s="47" t="s">
        <v>212</v>
      </c>
      <c r="G138" t="str" cm="1">
        <f t="array" ref="G138">_xlfn.IFS(C137&lt;=1000,"LOW",C137&lt;=2500,"MEDIUM",C137&gt;2500,"HIGH")</f>
        <v>MEDIUM</v>
      </c>
    </row>
    <row r="139" spans="1:7" x14ac:dyDescent="0.3">
      <c r="A139" s="44" t="s">
        <v>213</v>
      </c>
      <c r="B139" s="45" t="s">
        <v>268</v>
      </c>
      <c r="C139" s="45">
        <v>1252</v>
      </c>
      <c r="D139" s="45" t="s">
        <v>254</v>
      </c>
      <c r="E139" s="46">
        <v>42186</v>
      </c>
      <c r="F139" s="47" t="s">
        <v>228</v>
      </c>
      <c r="G139" t="str" cm="1">
        <f t="array" ref="G139">_xlfn.IFS(C138&lt;=1000,"LOW",C138&lt;=2500,"MEDIUM",C138&gt;2500,"HIGH")</f>
        <v>MEDIUM</v>
      </c>
    </row>
    <row r="140" spans="1:7" x14ac:dyDescent="0.3">
      <c r="A140" s="44" t="s">
        <v>209</v>
      </c>
      <c r="B140" s="45" t="s">
        <v>297</v>
      </c>
      <c r="C140" s="45">
        <v>1253</v>
      </c>
      <c r="D140" s="45" t="s">
        <v>254</v>
      </c>
      <c r="E140" s="46">
        <v>42078</v>
      </c>
      <c r="F140" s="47" t="s">
        <v>212</v>
      </c>
      <c r="G140" t="str" cm="1">
        <f t="array" ref="G140">_xlfn.IFS(C139&lt;=1000,"LOW",C139&lt;=2500,"MEDIUM",C139&gt;2500,"HIGH")</f>
        <v>MEDIUM</v>
      </c>
    </row>
    <row r="141" spans="1:7" x14ac:dyDescent="0.3">
      <c r="A141" s="44" t="s">
        <v>213</v>
      </c>
      <c r="B141" s="45" t="s">
        <v>288</v>
      </c>
      <c r="C141" s="45">
        <v>1256</v>
      </c>
      <c r="D141" s="45" t="s">
        <v>215</v>
      </c>
      <c r="E141" s="46">
        <v>42134</v>
      </c>
      <c r="F141" s="47" t="s">
        <v>216</v>
      </c>
      <c r="G141" t="str" cm="1">
        <f t="array" ref="G141">_xlfn.IFS(C140&lt;=1000,"LOW",C140&lt;=2500,"MEDIUM",C140&gt;2500,"HIGH")</f>
        <v>MEDIUM</v>
      </c>
    </row>
    <row r="142" spans="1:7" x14ac:dyDescent="0.3">
      <c r="A142" s="44" t="s">
        <v>246</v>
      </c>
      <c r="B142" s="45" t="s">
        <v>247</v>
      </c>
      <c r="C142" s="45">
        <v>1268</v>
      </c>
      <c r="D142" s="45" t="s">
        <v>230</v>
      </c>
      <c r="E142" s="46">
        <v>42102</v>
      </c>
      <c r="F142" s="47" t="s">
        <v>216</v>
      </c>
      <c r="G142" t="str" cm="1">
        <f t="array" ref="G142">_xlfn.IFS(C141&lt;=1000,"LOW",C141&lt;=2500,"MEDIUM",C141&gt;2500,"HIGH")</f>
        <v>MEDIUM</v>
      </c>
    </row>
    <row r="143" spans="1:7" x14ac:dyDescent="0.3">
      <c r="A143" s="44" t="s">
        <v>236</v>
      </c>
      <c r="B143" s="45" t="s">
        <v>253</v>
      </c>
      <c r="C143" s="45">
        <v>1273</v>
      </c>
      <c r="D143" s="45" t="s">
        <v>254</v>
      </c>
      <c r="E143" s="46">
        <v>41770</v>
      </c>
      <c r="F143" s="47" t="s">
        <v>216</v>
      </c>
      <c r="G143" t="str" cm="1">
        <f t="array" ref="G143">_xlfn.IFS(C142&lt;=1000,"LOW",C142&lt;=2500,"MEDIUM",C142&gt;2500,"HIGH")</f>
        <v>MEDIUM</v>
      </c>
    </row>
    <row r="144" spans="1:7" x14ac:dyDescent="0.3">
      <c r="A144" s="44" t="s">
        <v>231</v>
      </c>
      <c r="B144" s="45" t="s">
        <v>289</v>
      </c>
      <c r="C144" s="45">
        <v>1275</v>
      </c>
      <c r="D144" s="45" t="s">
        <v>211</v>
      </c>
      <c r="E144" s="46">
        <v>41975</v>
      </c>
      <c r="F144" s="47" t="s">
        <v>221</v>
      </c>
      <c r="G144" t="str" cm="1">
        <f t="array" ref="G144">_xlfn.IFS(C143&lt;=1000,"LOW",C143&lt;=2500,"MEDIUM",C143&gt;2500,"HIGH")</f>
        <v>MEDIUM</v>
      </c>
    </row>
    <row r="145" spans="1:7" x14ac:dyDescent="0.3">
      <c r="A145" s="44" t="s">
        <v>236</v>
      </c>
      <c r="B145" s="45" t="s">
        <v>296</v>
      </c>
      <c r="C145" s="45">
        <v>1279</v>
      </c>
      <c r="D145" s="45" t="s">
        <v>245</v>
      </c>
      <c r="E145" s="46">
        <v>42133</v>
      </c>
      <c r="F145" s="47" t="s">
        <v>216</v>
      </c>
      <c r="G145" t="str" cm="1">
        <f t="array" ref="G145">_xlfn.IFS(C144&lt;=1000,"LOW",C144&lt;=2500,"MEDIUM",C144&gt;2500,"HIGH")</f>
        <v>MEDIUM</v>
      </c>
    </row>
    <row r="146" spans="1:7" x14ac:dyDescent="0.3">
      <c r="A146" s="44" t="s">
        <v>213</v>
      </c>
      <c r="B146" s="45" t="s">
        <v>214</v>
      </c>
      <c r="C146" s="45">
        <v>1279</v>
      </c>
      <c r="D146" s="45" t="s">
        <v>235</v>
      </c>
      <c r="E146" s="46">
        <v>41871</v>
      </c>
      <c r="F146" s="47" t="s">
        <v>228</v>
      </c>
      <c r="G146" t="str" cm="1">
        <f t="array" ref="G146">_xlfn.IFS(C145&lt;=1000,"LOW",C145&lt;=2500,"MEDIUM",C145&gt;2500,"HIGH")</f>
        <v>MEDIUM</v>
      </c>
    </row>
    <row r="147" spans="1:7" x14ac:dyDescent="0.3">
      <c r="A147" s="44" t="s">
        <v>233</v>
      </c>
      <c r="B147" s="45" t="s">
        <v>258</v>
      </c>
      <c r="C147" s="45">
        <v>1282</v>
      </c>
      <c r="D147" s="45" t="s">
        <v>218</v>
      </c>
      <c r="E147" s="46">
        <v>42234</v>
      </c>
      <c r="F147" s="47" t="s">
        <v>228</v>
      </c>
      <c r="G147" t="str" cm="1">
        <f t="array" ref="G147">_xlfn.IFS(C146&lt;=1000,"LOW",C146&lt;=2500,"MEDIUM",C146&gt;2500,"HIGH")</f>
        <v>MEDIUM</v>
      </c>
    </row>
    <row r="148" spans="1:7" x14ac:dyDescent="0.3">
      <c r="A148" s="44" t="s">
        <v>213</v>
      </c>
      <c r="B148" s="45" t="s">
        <v>229</v>
      </c>
      <c r="C148" s="45">
        <v>1285</v>
      </c>
      <c r="D148" s="45" t="s">
        <v>245</v>
      </c>
      <c r="E148" s="46">
        <v>41675</v>
      </c>
      <c r="F148" s="47" t="s">
        <v>212</v>
      </c>
      <c r="G148" t="str" cm="1">
        <f t="array" ref="G148">_xlfn.IFS(C147&lt;=1000,"LOW",C147&lt;=2500,"MEDIUM",C147&gt;2500,"HIGH")</f>
        <v>MEDIUM</v>
      </c>
    </row>
    <row r="149" spans="1:7" x14ac:dyDescent="0.3">
      <c r="A149" s="44" t="s">
        <v>233</v>
      </c>
      <c r="B149" s="45" t="s">
        <v>251</v>
      </c>
      <c r="C149" s="45">
        <v>1286</v>
      </c>
      <c r="D149" s="45" t="s">
        <v>225</v>
      </c>
      <c r="E149" s="46">
        <v>42070</v>
      </c>
      <c r="F149" s="47" t="s">
        <v>212</v>
      </c>
      <c r="G149" t="str" cm="1">
        <f t="array" ref="G149">_xlfn.IFS(C148&lt;=1000,"LOW",C148&lt;=2500,"MEDIUM",C148&gt;2500,"HIGH")</f>
        <v>MEDIUM</v>
      </c>
    </row>
    <row r="150" spans="1:7" x14ac:dyDescent="0.3">
      <c r="A150" s="44" t="s">
        <v>223</v>
      </c>
      <c r="B150" s="45" t="s">
        <v>273</v>
      </c>
      <c r="C150" s="45">
        <v>1290</v>
      </c>
      <c r="D150" s="45" t="s">
        <v>245</v>
      </c>
      <c r="E150" s="46">
        <v>42008</v>
      </c>
      <c r="F150" s="47" t="s">
        <v>212</v>
      </c>
      <c r="G150" t="str" cm="1">
        <f t="array" ref="G150">_xlfn.IFS(C149&lt;=1000,"LOW",C149&lt;=2500,"MEDIUM",C149&gt;2500,"HIGH")</f>
        <v>MEDIUM</v>
      </c>
    </row>
    <row r="151" spans="1:7" x14ac:dyDescent="0.3">
      <c r="A151" s="44" t="s">
        <v>231</v>
      </c>
      <c r="B151" s="45" t="s">
        <v>257</v>
      </c>
      <c r="C151" s="45">
        <v>1290</v>
      </c>
      <c r="D151" s="45" t="s">
        <v>245</v>
      </c>
      <c r="E151" s="46">
        <v>42243</v>
      </c>
      <c r="F151" s="47" t="s">
        <v>228</v>
      </c>
      <c r="G151" t="str" cm="1">
        <f t="array" ref="G151">_xlfn.IFS(C150&lt;=1000,"LOW",C150&lt;=2500,"MEDIUM",C150&gt;2500,"HIGH")</f>
        <v>MEDIUM</v>
      </c>
    </row>
    <row r="152" spans="1:7" x14ac:dyDescent="0.3">
      <c r="A152" s="44" t="s">
        <v>209</v>
      </c>
      <c r="B152" s="45" t="s">
        <v>242</v>
      </c>
      <c r="C152" s="45">
        <v>1293</v>
      </c>
      <c r="D152" s="45" t="s">
        <v>215</v>
      </c>
      <c r="E152" s="46">
        <v>41766</v>
      </c>
      <c r="F152" s="47" t="s">
        <v>216</v>
      </c>
      <c r="G152" t="str" cm="1">
        <f t="array" ref="G152">_xlfn.IFS(C151&lt;=1000,"LOW",C151&lt;=2500,"MEDIUM",C151&gt;2500,"HIGH")</f>
        <v>MEDIUM</v>
      </c>
    </row>
    <row r="153" spans="1:7" x14ac:dyDescent="0.3">
      <c r="A153" s="44" t="s">
        <v>236</v>
      </c>
      <c r="B153" s="45" t="s">
        <v>284</v>
      </c>
      <c r="C153" s="45">
        <v>1293</v>
      </c>
      <c r="D153" s="45" t="s">
        <v>215</v>
      </c>
      <c r="E153" s="46">
        <v>41800</v>
      </c>
      <c r="F153" s="47" t="s">
        <v>216</v>
      </c>
      <c r="G153" t="str" cm="1">
        <f t="array" ref="G153">_xlfn.IFS(C152&lt;=1000,"LOW",C152&lt;=2500,"MEDIUM",C152&gt;2500,"HIGH")</f>
        <v>MEDIUM</v>
      </c>
    </row>
    <row r="154" spans="1:7" x14ac:dyDescent="0.3">
      <c r="A154" s="44" t="s">
        <v>233</v>
      </c>
      <c r="B154" s="45" t="s">
        <v>252</v>
      </c>
      <c r="C154" s="45">
        <v>1308</v>
      </c>
      <c r="D154" s="45" t="s">
        <v>225</v>
      </c>
      <c r="E154" s="46">
        <v>41700</v>
      </c>
      <c r="F154" s="47" t="s">
        <v>212</v>
      </c>
      <c r="G154" t="str" cm="1">
        <f t="array" ref="G154">_xlfn.IFS(C153&lt;=1000,"LOW",C153&lt;=2500,"MEDIUM",C153&gt;2500,"HIGH")</f>
        <v>MEDIUM</v>
      </c>
    </row>
    <row r="155" spans="1:7" x14ac:dyDescent="0.3">
      <c r="A155" s="44" t="s">
        <v>233</v>
      </c>
      <c r="B155" s="45" t="s">
        <v>234</v>
      </c>
      <c r="C155" s="45">
        <v>1310</v>
      </c>
      <c r="D155" s="45" t="s">
        <v>220</v>
      </c>
      <c r="E155" s="46">
        <v>41955</v>
      </c>
      <c r="F155" s="47" t="s">
        <v>221</v>
      </c>
      <c r="G155" t="str" cm="1">
        <f t="array" ref="G155">_xlfn.IFS(C154&lt;=1000,"LOW",C154&lt;=2500,"MEDIUM",C154&gt;2500,"HIGH")</f>
        <v>MEDIUM</v>
      </c>
    </row>
    <row r="156" spans="1:7" x14ac:dyDescent="0.3">
      <c r="A156" s="44" t="s">
        <v>233</v>
      </c>
      <c r="B156" s="45" t="s">
        <v>283</v>
      </c>
      <c r="C156" s="45">
        <v>1322</v>
      </c>
      <c r="D156" s="45" t="s">
        <v>230</v>
      </c>
      <c r="E156" s="46">
        <v>42087</v>
      </c>
      <c r="F156" s="47" t="s">
        <v>212</v>
      </c>
      <c r="G156" t="str" cm="1">
        <f t="array" ref="G156">_xlfn.IFS(C155&lt;=1000,"LOW",C155&lt;=2500,"MEDIUM",C155&gt;2500,"HIGH")</f>
        <v>MEDIUM</v>
      </c>
    </row>
    <row r="157" spans="1:7" x14ac:dyDescent="0.3">
      <c r="A157" s="44" t="s">
        <v>233</v>
      </c>
      <c r="B157" s="45" t="s">
        <v>283</v>
      </c>
      <c r="C157" s="45">
        <v>1322</v>
      </c>
      <c r="D157" s="45" t="s">
        <v>215</v>
      </c>
      <c r="E157" s="46">
        <v>42240</v>
      </c>
      <c r="F157" s="47" t="s">
        <v>228</v>
      </c>
      <c r="G157" t="str" cm="1">
        <f t="array" ref="G157">_xlfn.IFS(C156&lt;=1000,"LOW",C156&lt;=2500,"MEDIUM",C156&gt;2500,"HIGH")</f>
        <v>MEDIUM</v>
      </c>
    </row>
    <row r="158" spans="1:7" x14ac:dyDescent="0.3">
      <c r="A158" s="44" t="s">
        <v>233</v>
      </c>
      <c r="B158" s="45" t="s">
        <v>255</v>
      </c>
      <c r="C158" s="45">
        <v>1322</v>
      </c>
      <c r="D158" s="45" t="s">
        <v>254</v>
      </c>
      <c r="E158" s="46">
        <v>42351</v>
      </c>
      <c r="F158" s="47" t="s">
        <v>221</v>
      </c>
      <c r="G158" t="str" cm="1">
        <f t="array" ref="G158">_xlfn.IFS(C157&lt;=1000,"LOW",C157&lt;=2500,"MEDIUM",C157&gt;2500,"HIGH")</f>
        <v>MEDIUM</v>
      </c>
    </row>
    <row r="159" spans="1:7" x14ac:dyDescent="0.3">
      <c r="A159" s="44" t="s">
        <v>231</v>
      </c>
      <c r="B159" s="45" t="s">
        <v>279</v>
      </c>
      <c r="C159" s="45">
        <v>1328</v>
      </c>
      <c r="D159" s="45" t="s">
        <v>235</v>
      </c>
      <c r="E159" s="46">
        <v>42029</v>
      </c>
      <c r="F159" s="47" t="s">
        <v>212</v>
      </c>
      <c r="G159" t="str" cm="1">
        <f t="array" ref="G159">_xlfn.IFS(C158&lt;=1000,"LOW",C158&lt;=2500,"MEDIUM",C158&gt;2500,"HIGH")</f>
        <v>MEDIUM</v>
      </c>
    </row>
    <row r="160" spans="1:7" x14ac:dyDescent="0.3">
      <c r="A160" s="44" t="s">
        <v>236</v>
      </c>
      <c r="B160" s="45" t="s">
        <v>298</v>
      </c>
      <c r="C160" s="45">
        <v>1332</v>
      </c>
      <c r="D160" s="45" t="s">
        <v>218</v>
      </c>
      <c r="E160" s="46">
        <v>42143</v>
      </c>
      <c r="F160" s="47" t="s">
        <v>216</v>
      </c>
      <c r="G160" t="str" cm="1">
        <f t="array" ref="G160">_xlfn.IFS(C159&lt;=1000,"LOW",C159&lt;=2500,"MEDIUM",C159&gt;2500,"HIGH")</f>
        <v>MEDIUM</v>
      </c>
    </row>
    <row r="161" spans="1:7" x14ac:dyDescent="0.3">
      <c r="A161" s="44" t="s">
        <v>213</v>
      </c>
      <c r="B161" s="45" t="s">
        <v>299</v>
      </c>
      <c r="C161" s="45">
        <v>1334</v>
      </c>
      <c r="D161" s="45" t="s">
        <v>225</v>
      </c>
      <c r="E161" s="46">
        <v>42269</v>
      </c>
      <c r="F161" s="47" t="s">
        <v>228</v>
      </c>
      <c r="G161" t="str" cm="1">
        <f t="array" ref="G161">_xlfn.IFS(C160&lt;=1000,"LOW",C160&lt;=2500,"MEDIUM",C160&gt;2500,"HIGH")</f>
        <v>MEDIUM</v>
      </c>
    </row>
    <row r="162" spans="1:7" x14ac:dyDescent="0.3">
      <c r="A162" s="44" t="s">
        <v>233</v>
      </c>
      <c r="B162" s="45" t="s">
        <v>250</v>
      </c>
      <c r="C162" s="45">
        <v>1335</v>
      </c>
      <c r="D162" s="45" t="s">
        <v>222</v>
      </c>
      <c r="E162" s="46">
        <v>41842</v>
      </c>
      <c r="F162" s="47" t="s">
        <v>228</v>
      </c>
      <c r="G162" t="str" cm="1">
        <f t="array" ref="G162">_xlfn.IFS(C161&lt;=1000,"LOW",C161&lt;=2500,"MEDIUM",C161&gt;2500,"HIGH")</f>
        <v>MEDIUM</v>
      </c>
    </row>
    <row r="163" spans="1:7" x14ac:dyDescent="0.3">
      <c r="A163" s="44" t="s">
        <v>233</v>
      </c>
      <c r="B163" s="45" t="s">
        <v>281</v>
      </c>
      <c r="C163" s="45">
        <v>1339</v>
      </c>
      <c r="D163" s="45" t="s">
        <v>245</v>
      </c>
      <c r="E163" s="46">
        <v>41824</v>
      </c>
      <c r="F163" s="47" t="s">
        <v>228</v>
      </c>
      <c r="G163" t="str" cm="1">
        <f t="array" ref="G163">_xlfn.IFS(C162&lt;=1000,"LOW",C162&lt;=2500,"MEDIUM",C162&gt;2500,"HIGH")</f>
        <v>MEDIUM</v>
      </c>
    </row>
    <row r="164" spans="1:7" x14ac:dyDescent="0.3">
      <c r="A164" s="44" t="s">
        <v>246</v>
      </c>
      <c r="B164" s="45" t="s">
        <v>247</v>
      </c>
      <c r="C164" s="45">
        <v>1341</v>
      </c>
      <c r="D164" s="45" t="s">
        <v>220</v>
      </c>
      <c r="E164" s="46">
        <v>41995</v>
      </c>
      <c r="F164" s="47" t="s">
        <v>221</v>
      </c>
      <c r="G164" t="str" cm="1">
        <f t="array" ref="G164">_xlfn.IFS(C163&lt;=1000,"LOW",C163&lt;=2500,"MEDIUM",C163&gt;2500,"HIGH")</f>
        <v>MEDIUM</v>
      </c>
    </row>
    <row r="165" spans="1:7" x14ac:dyDescent="0.3">
      <c r="A165" s="44" t="s">
        <v>223</v>
      </c>
      <c r="B165" s="45" t="s">
        <v>295</v>
      </c>
      <c r="C165" s="45">
        <v>1342</v>
      </c>
      <c r="D165" s="45" t="s">
        <v>235</v>
      </c>
      <c r="E165" s="46">
        <v>41784</v>
      </c>
      <c r="F165" s="47" t="s">
        <v>216</v>
      </c>
      <c r="G165" t="str" cm="1">
        <f t="array" ref="G165">_xlfn.IFS(C164&lt;=1000,"LOW",C164&lt;=2500,"MEDIUM",C164&gt;2500,"HIGH")</f>
        <v>MEDIUM</v>
      </c>
    </row>
    <row r="166" spans="1:7" x14ac:dyDescent="0.3">
      <c r="A166" s="44" t="s">
        <v>239</v>
      </c>
      <c r="B166" s="45" t="s">
        <v>272</v>
      </c>
      <c r="C166" s="45">
        <v>1342</v>
      </c>
      <c r="D166" s="45" t="s">
        <v>215</v>
      </c>
      <c r="E166" s="46">
        <v>41777</v>
      </c>
      <c r="F166" s="47" t="s">
        <v>216</v>
      </c>
      <c r="G166" t="str" cm="1">
        <f t="array" ref="G166">_xlfn.IFS(C165&lt;=1000,"LOW",C165&lt;=2500,"MEDIUM",C165&gt;2500,"HIGH")</f>
        <v>MEDIUM</v>
      </c>
    </row>
    <row r="167" spans="1:7" x14ac:dyDescent="0.3">
      <c r="A167" s="44" t="s">
        <v>209</v>
      </c>
      <c r="B167" s="45" t="s">
        <v>264</v>
      </c>
      <c r="C167" s="45">
        <v>1344</v>
      </c>
      <c r="D167" s="45" t="s">
        <v>215</v>
      </c>
      <c r="E167" s="46">
        <v>42169</v>
      </c>
      <c r="F167" s="47" t="s">
        <v>216</v>
      </c>
      <c r="G167" t="str" cm="1">
        <f t="array" ref="G167">_xlfn.IFS(C166&lt;=1000,"LOW",C166&lt;=2500,"MEDIUM",C166&gt;2500,"HIGH")</f>
        <v>MEDIUM</v>
      </c>
    </row>
    <row r="168" spans="1:7" x14ac:dyDescent="0.3">
      <c r="A168" s="44" t="s">
        <v>231</v>
      </c>
      <c r="B168" s="45" t="s">
        <v>289</v>
      </c>
      <c r="C168" s="45">
        <v>1349</v>
      </c>
      <c r="D168" s="45" t="s">
        <v>220</v>
      </c>
      <c r="E168" s="46">
        <v>42020</v>
      </c>
      <c r="F168" s="47" t="s">
        <v>212</v>
      </c>
      <c r="G168" t="str" cm="1">
        <f t="array" ref="G168">_xlfn.IFS(C167&lt;=1000,"LOW",C167&lt;=2500,"MEDIUM",C167&gt;2500,"HIGH")</f>
        <v>MEDIUM</v>
      </c>
    </row>
    <row r="169" spans="1:7" x14ac:dyDescent="0.3">
      <c r="A169" s="44" t="s">
        <v>246</v>
      </c>
      <c r="B169" s="45" t="s">
        <v>287</v>
      </c>
      <c r="C169" s="45">
        <v>1349</v>
      </c>
      <c r="D169" s="45" t="s">
        <v>230</v>
      </c>
      <c r="E169" s="46">
        <v>42102</v>
      </c>
      <c r="F169" s="47" t="s">
        <v>216</v>
      </c>
      <c r="G169" t="str" cm="1">
        <f t="array" ref="G169">_xlfn.IFS(C168&lt;=1000,"LOW",C168&lt;=2500,"MEDIUM",C168&gt;2500,"HIGH")</f>
        <v>MEDIUM</v>
      </c>
    </row>
    <row r="170" spans="1:7" x14ac:dyDescent="0.3">
      <c r="A170" s="44" t="s">
        <v>223</v>
      </c>
      <c r="B170" s="45" t="s">
        <v>282</v>
      </c>
      <c r="C170" s="45">
        <v>1353</v>
      </c>
      <c r="D170" s="45" t="s">
        <v>222</v>
      </c>
      <c r="E170" s="46">
        <v>41994</v>
      </c>
      <c r="F170" s="47" t="s">
        <v>221</v>
      </c>
      <c r="G170" t="str" cm="1">
        <f t="array" ref="G170">_xlfn.IFS(C169&lt;=1000,"LOW",C169&lt;=2500,"MEDIUM",C169&gt;2500,"HIGH")</f>
        <v>MEDIUM</v>
      </c>
    </row>
    <row r="171" spans="1:7" x14ac:dyDescent="0.3">
      <c r="A171" s="44" t="s">
        <v>223</v>
      </c>
      <c r="B171" s="45" t="s">
        <v>249</v>
      </c>
      <c r="C171" s="45">
        <v>1363</v>
      </c>
      <c r="D171" s="45" t="s">
        <v>222</v>
      </c>
      <c r="E171" s="46">
        <v>42017</v>
      </c>
      <c r="F171" s="47" t="s">
        <v>212</v>
      </c>
      <c r="G171" t="str" cm="1">
        <f t="array" ref="G171">_xlfn.IFS(C170&lt;=1000,"LOW",C170&lt;=2500,"MEDIUM",C170&gt;2500,"HIGH")</f>
        <v>MEDIUM</v>
      </c>
    </row>
    <row r="172" spans="1:7" x14ac:dyDescent="0.3">
      <c r="A172" s="44" t="s">
        <v>236</v>
      </c>
      <c r="B172" s="45" t="s">
        <v>237</v>
      </c>
      <c r="C172" s="45">
        <v>1363</v>
      </c>
      <c r="D172" s="45" t="s">
        <v>230</v>
      </c>
      <c r="E172" s="46">
        <v>42160</v>
      </c>
      <c r="F172" s="47" t="s">
        <v>216</v>
      </c>
      <c r="G172" t="str" cm="1">
        <f t="array" ref="G172">_xlfn.IFS(C171&lt;=1000,"LOW",C171&lt;=2500,"MEDIUM",C171&gt;2500,"HIGH")</f>
        <v>MEDIUM</v>
      </c>
    </row>
    <row r="173" spans="1:7" x14ac:dyDescent="0.3">
      <c r="A173" s="44" t="s">
        <v>223</v>
      </c>
      <c r="B173" s="45" t="s">
        <v>273</v>
      </c>
      <c r="C173" s="45">
        <v>1368</v>
      </c>
      <c r="D173" s="45" t="s">
        <v>220</v>
      </c>
      <c r="E173" s="46">
        <v>42163</v>
      </c>
      <c r="F173" s="47" t="s">
        <v>216</v>
      </c>
      <c r="G173" t="str" cm="1">
        <f t="array" ref="G173">_xlfn.IFS(C172&lt;=1000,"LOW",C172&lt;=2500,"MEDIUM",C172&gt;2500,"HIGH")</f>
        <v>MEDIUM</v>
      </c>
    </row>
    <row r="174" spans="1:7" x14ac:dyDescent="0.3">
      <c r="A174" s="44" t="s">
        <v>236</v>
      </c>
      <c r="B174" s="45" t="s">
        <v>300</v>
      </c>
      <c r="C174" s="45">
        <v>1379</v>
      </c>
      <c r="D174" s="45" t="s">
        <v>235</v>
      </c>
      <c r="E174" s="46">
        <v>42000</v>
      </c>
      <c r="F174" s="47" t="s">
        <v>221</v>
      </c>
      <c r="G174" t="str" cm="1">
        <f t="array" ref="G174">_xlfn.IFS(C173&lt;=1000,"LOW",C173&lt;=2500,"MEDIUM",C173&gt;2500,"HIGH")</f>
        <v>MEDIUM</v>
      </c>
    </row>
    <row r="175" spans="1:7" x14ac:dyDescent="0.3">
      <c r="A175" s="44" t="s">
        <v>236</v>
      </c>
      <c r="B175" s="45" t="s">
        <v>237</v>
      </c>
      <c r="C175" s="45">
        <v>1386</v>
      </c>
      <c r="D175" s="45" t="s">
        <v>220</v>
      </c>
      <c r="E175" s="46">
        <v>41839</v>
      </c>
      <c r="F175" s="47" t="s">
        <v>228</v>
      </c>
      <c r="G175" t="str" cm="1">
        <f t="array" ref="G175">_xlfn.IFS(C174&lt;=1000,"LOW",C174&lt;=2500,"MEDIUM",C174&gt;2500,"HIGH")</f>
        <v>MEDIUM</v>
      </c>
    </row>
    <row r="176" spans="1:7" x14ac:dyDescent="0.3">
      <c r="A176" s="44" t="s">
        <v>223</v>
      </c>
      <c r="B176" s="45" t="s">
        <v>290</v>
      </c>
      <c r="C176" s="45">
        <v>1388</v>
      </c>
      <c r="D176" s="45" t="s">
        <v>225</v>
      </c>
      <c r="E176" s="46">
        <v>41661</v>
      </c>
      <c r="F176" s="47" t="s">
        <v>212</v>
      </c>
      <c r="G176" t="str" cm="1">
        <f t="array" ref="G176">_xlfn.IFS(C175&lt;=1000,"LOW",C175&lt;=2500,"MEDIUM",C175&gt;2500,"HIGH")</f>
        <v>MEDIUM</v>
      </c>
    </row>
    <row r="177" spans="1:7" x14ac:dyDescent="0.3">
      <c r="A177" s="44" t="s">
        <v>209</v>
      </c>
      <c r="B177" s="45" t="s">
        <v>264</v>
      </c>
      <c r="C177" s="45">
        <v>1389</v>
      </c>
      <c r="D177" s="45" t="s">
        <v>245</v>
      </c>
      <c r="E177" s="46">
        <v>41815</v>
      </c>
      <c r="F177" s="47" t="s">
        <v>216</v>
      </c>
      <c r="G177" t="str" cm="1">
        <f t="array" ref="G177">_xlfn.IFS(C176&lt;=1000,"LOW",C176&lt;=2500,"MEDIUM",C176&gt;2500,"HIGH")</f>
        <v>MEDIUM</v>
      </c>
    </row>
    <row r="178" spans="1:7" x14ac:dyDescent="0.3">
      <c r="A178" s="44" t="s">
        <v>209</v>
      </c>
      <c r="B178" s="45" t="s">
        <v>297</v>
      </c>
      <c r="C178" s="45">
        <v>1391</v>
      </c>
      <c r="D178" s="45" t="s">
        <v>235</v>
      </c>
      <c r="E178" s="46">
        <v>42172</v>
      </c>
      <c r="F178" s="47" t="s">
        <v>216</v>
      </c>
      <c r="G178" t="str" cm="1">
        <f t="array" ref="G178">_xlfn.IFS(C177&lt;=1000,"LOW",C177&lt;=2500,"MEDIUM",C177&gt;2500,"HIGH")</f>
        <v>MEDIUM</v>
      </c>
    </row>
    <row r="179" spans="1:7" x14ac:dyDescent="0.3">
      <c r="A179" s="44" t="s">
        <v>233</v>
      </c>
      <c r="B179" s="45" t="s">
        <v>250</v>
      </c>
      <c r="C179" s="45">
        <v>1394</v>
      </c>
      <c r="D179" s="45" t="s">
        <v>230</v>
      </c>
      <c r="E179" s="46">
        <v>41797</v>
      </c>
      <c r="F179" s="47" t="s">
        <v>216</v>
      </c>
      <c r="G179" t="str" cm="1">
        <f t="array" ref="G179">_xlfn.IFS(C178&lt;=1000,"LOW",C178&lt;=2500,"MEDIUM",C178&gt;2500,"HIGH")</f>
        <v>MEDIUM</v>
      </c>
    </row>
    <row r="180" spans="1:7" x14ac:dyDescent="0.3">
      <c r="A180" s="44" t="s">
        <v>239</v>
      </c>
      <c r="B180" s="45" t="s">
        <v>240</v>
      </c>
      <c r="C180" s="45">
        <v>1395</v>
      </c>
      <c r="D180" s="45" t="s">
        <v>245</v>
      </c>
      <c r="E180" s="46">
        <v>41821</v>
      </c>
      <c r="F180" s="47" t="s">
        <v>228</v>
      </c>
      <c r="G180" t="str" cm="1">
        <f t="array" ref="G180">_xlfn.IFS(C179&lt;=1000,"LOW",C179&lt;=2500,"MEDIUM",C179&gt;2500,"HIGH")</f>
        <v>MEDIUM</v>
      </c>
    </row>
    <row r="181" spans="1:7" x14ac:dyDescent="0.3">
      <c r="A181" s="44" t="s">
        <v>209</v>
      </c>
      <c r="B181" s="45" t="s">
        <v>261</v>
      </c>
      <c r="C181" s="45">
        <v>1399</v>
      </c>
      <c r="D181" s="45" t="s">
        <v>218</v>
      </c>
      <c r="E181" s="46">
        <v>41877</v>
      </c>
      <c r="F181" s="47" t="s">
        <v>228</v>
      </c>
      <c r="G181" t="str" cm="1">
        <f t="array" ref="G181">_xlfn.IFS(C180&lt;=1000,"LOW",C180&lt;=2500,"MEDIUM",C180&gt;2500,"HIGH")</f>
        <v>MEDIUM</v>
      </c>
    </row>
    <row r="182" spans="1:7" x14ac:dyDescent="0.3">
      <c r="A182" s="44" t="s">
        <v>233</v>
      </c>
      <c r="B182" s="45" t="s">
        <v>258</v>
      </c>
      <c r="C182" s="45">
        <v>1403</v>
      </c>
      <c r="D182" s="45" t="s">
        <v>218</v>
      </c>
      <c r="E182" s="46">
        <v>41695</v>
      </c>
      <c r="F182" s="47" t="s">
        <v>212</v>
      </c>
      <c r="G182" t="str" cm="1">
        <f t="array" ref="G182">_xlfn.IFS(C181&lt;=1000,"LOW",C181&lt;=2500,"MEDIUM",C181&gt;2500,"HIGH")</f>
        <v>MEDIUM</v>
      </c>
    </row>
    <row r="183" spans="1:7" x14ac:dyDescent="0.3">
      <c r="A183" s="44" t="s">
        <v>223</v>
      </c>
      <c r="B183" s="45" t="s">
        <v>263</v>
      </c>
      <c r="C183" s="45">
        <v>1404</v>
      </c>
      <c r="D183" s="45" t="s">
        <v>225</v>
      </c>
      <c r="E183" s="46">
        <v>41817</v>
      </c>
      <c r="F183" s="47" t="s">
        <v>216</v>
      </c>
      <c r="G183" t="str" cm="1">
        <f t="array" ref="G183">_xlfn.IFS(C182&lt;=1000,"LOW",C182&lt;=2500,"MEDIUM",C182&gt;2500,"HIGH")</f>
        <v>MEDIUM</v>
      </c>
    </row>
    <row r="184" spans="1:7" x14ac:dyDescent="0.3">
      <c r="A184" s="44" t="s">
        <v>213</v>
      </c>
      <c r="B184" s="45" t="s">
        <v>278</v>
      </c>
      <c r="C184" s="45">
        <v>1405</v>
      </c>
      <c r="D184" s="45" t="s">
        <v>218</v>
      </c>
      <c r="E184" s="46">
        <v>41990</v>
      </c>
      <c r="F184" s="47" t="s">
        <v>221</v>
      </c>
      <c r="G184" t="str" cm="1">
        <f t="array" ref="G184">_xlfn.IFS(C183&lt;=1000,"LOW",C183&lt;=2500,"MEDIUM",C183&gt;2500,"HIGH")</f>
        <v>MEDIUM</v>
      </c>
    </row>
    <row r="185" spans="1:7" x14ac:dyDescent="0.3">
      <c r="A185" s="44" t="s">
        <v>209</v>
      </c>
      <c r="B185" s="45" t="s">
        <v>242</v>
      </c>
      <c r="C185" s="45">
        <v>1415</v>
      </c>
      <c r="D185" s="45" t="s">
        <v>222</v>
      </c>
      <c r="E185" s="46">
        <v>41779</v>
      </c>
      <c r="F185" s="47" t="s">
        <v>216</v>
      </c>
      <c r="G185" t="str" cm="1">
        <f t="array" ref="G185">_xlfn.IFS(C184&lt;=1000,"LOW",C184&lt;=2500,"MEDIUM",C184&gt;2500,"HIGH")</f>
        <v>MEDIUM</v>
      </c>
    </row>
    <row r="186" spans="1:7" x14ac:dyDescent="0.3">
      <c r="A186" s="44" t="s">
        <v>246</v>
      </c>
      <c r="B186" s="45" t="s">
        <v>301</v>
      </c>
      <c r="C186" s="45">
        <v>1416</v>
      </c>
      <c r="D186" s="45" t="s">
        <v>215</v>
      </c>
      <c r="E186" s="46">
        <v>42301</v>
      </c>
      <c r="F186" s="47" t="s">
        <v>221</v>
      </c>
      <c r="G186" t="str" cm="1">
        <f t="array" ref="G186">_xlfn.IFS(C185&lt;=1000,"LOW",C185&lt;=2500,"MEDIUM",C185&gt;2500,"HIGH")</f>
        <v>MEDIUM</v>
      </c>
    </row>
    <row r="187" spans="1:7" x14ac:dyDescent="0.3">
      <c r="A187" s="44" t="s">
        <v>213</v>
      </c>
      <c r="B187" s="45" t="s">
        <v>217</v>
      </c>
      <c r="C187" s="45">
        <v>1429</v>
      </c>
      <c r="D187" s="45" t="s">
        <v>222</v>
      </c>
      <c r="E187" s="46">
        <v>41887</v>
      </c>
      <c r="F187" s="47" t="s">
        <v>228</v>
      </c>
      <c r="G187" t="str" cm="1">
        <f t="array" ref="G187">_xlfn.IFS(C186&lt;=1000,"LOW",C186&lt;=2500,"MEDIUM",C186&gt;2500,"HIGH")</f>
        <v>MEDIUM</v>
      </c>
    </row>
    <row r="188" spans="1:7" x14ac:dyDescent="0.3">
      <c r="A188" s="44" t="s">
        <v>231</v>
      </c>
      <c r="B188" s="45" t="s">
        <v>275</v>
      </c>
      <c r="C188" s="45">
        <v>1431</v>
      </c>
      <c r="D188" s="45" t="s">
        <v>222</v>
      </c>
      <c r="E188" s="46">
        <v>41892</v>
      </c>
      <c r="F188" s="47" t="s">
        <v>228</v>
      </c>
      <c r="G188" t="str" cm="1">
        <f t="array" ref="G188">_xlfn.IFS(C187&lt;=1000,"LOW",C187&lt;=2500,"MEDIUM",C187&gt;2500,"HIGH")</f>
        <v>MEDIUM</v>
      </c>
    </row>
    <row r="189" spans="1:7" x14ac:dyDescent="0.3">
      <c r="A189" s="44" t="s">
        <v>231</v>
      </c>
      <c r="B189" s="45" t="s">
        <v>289</v>
      </c>
      <c r="C189" s="45">
        <v>1432</v>
      </c>
      <c r="D189" s="45" t="s">
        <v>225</v>
      </c>
      <c r="E189" s="46">
        <v>41665</v>
      </c>
      <c r="F189" s="47" t="s">
        <v>212</v>
      </c>
      <c r="G189" t="str" cm="1">
        <f t="array" ref="G189">_xlfn.IFS(C188&lt;=1000,"LOW",C188&lt;=2500,"MEDIUM",C188&gt;2500,"HIGH")</f>
        <v>MEDIUM</v>
      </c>
    </row>
    <row r="190" spans="1:7" x14ac:dyDescent="0.3">
      <c r="A190" s="44" t="s">
        <v>246</v>
      </c>
      <c r="B190" s="45" t="s">
        <v>247</v>
      </c>
      <c r="C190" s="45">
        <v>1435</v>
      </c>
      <c r="D190" s="45" t="s">
        <v>245</v>
      </c>
      <c r="E190" s="46">
        <v>41894</v>
      </c>
      <c r="F190" s="47" t="s">
        <v>228</v>
      </c>
      <c r="G190" t="str" cm="1">
        <f t="array" ref="G190">_xlfn.IFS(C189&lt;=1000,"LOW",C189&lt;=2500,"MEDIUM",C189&gt;2500,"HIGH")</f>
        <v>MEDIUM</v>
      </c>
    </row>
    <row r="191" spans="1:7" x14ac:dyDescent="0.3">
      <c r="A191" s="44" t="s">
        <v>236</v>
      </c>
      <c r="B191" s="45" t="s">
        <v>238</v>
      </c>
      <c r="C191" s="45">
        <v>1440</v>
      </c>
      <c r="D191" s="45" t="s">
        <v>230</v>
      </c>
      <c r="E191" s="46">
        <v>42056</v>
      </c>
      <c r="F191" s="47" t="s">
        <v>212</v>
      </c>
      <c r="G191" t="str" cm="1">
        <f t="array" ref="G191">_xlfn.IFS(C190&lt;=1000,"LOW",C190&lt;=2500,"MEDIUM",C190&gt;2500,"HIGH")</f>
        <v>MEDIUM</v>
      </c>
    </row>
    <row r="192" spans="1:7" x14ac:dyDescent="0.3">
      <c r="A192" s="44" t="s">
        <v>223</v>
      </c>
      <c r="B192" s="45" t="s">
        <v>241</v>
      </c>
      <c r="C192" s="45">
        <v>1446</v>
      </c>
      <c r="D192" s="45" t="s">
        <v>211</v>
      </c>
      <c r="E192" s="46">
        <v>41862</v>
      </c>
      <c r="F192" s="47" t="s">
        <v>228</v>
      </c>
      <c r="G192" t="str" cm="1">
        <f t="array" ref="G192">_xlfn.IFS(C191&lt;=1000,"LOW",C191&lt;=2500,"MEDIUM",C191&gt;2500,"HIGH")</f>
        <v>MEDIUM</v>
      </c>
    </row>
    <row r="193" spans="1:7" x14ac:dyDescent="0.3">
      <c r="A193" s="44" t="s">
        <v>233</v>
      </c>
      <c r="B193" s="45" t="s">
        <v>251</v>
      </c>
      <c r="C193" s="45">
        <v>1453</v>
      </c>
      <c r="D193" s="45" t="s">
        <v>245</v>
      </c>
      <c r="E193" s="46">
        <v>42229</v>
      </c>
      <c r="F193" s="47" t="s">
        <v>228</v>
      </c>
      <c r="G193" t="str" cm="1">
        <f t="array" ref="G193">_xlfn.IFS(C192&lt;=1000,"LOW",C192&lt;=2500,"MEDIUM",C192&gt;2500,"HIGH")</f>
        <v>MEDIUM</v>
      </c>
    </row>
    <row r="194" spans="1:7" x14ac:dyDescent="0.3">
      <c r="A194" s="44" t="s">
        <v>233</v>
      </c>
      <c r="B194" s="45" t="s">
        <v>251</v>
      </c>
      <c r="C194" s="45">
        <v>1459</v>
      </c>
      <c r="D194" s="45" t="s">
        <v>218</v>
      </c>
      <c r="E194" s="46">
        <v>42255</v>
      </c>
      <c r="F194" s="47" t="s">
        <v>228</v>
      </c>
      <c r="G194" t="str" cm="1">
        <f t="array" ref="G194">_xlfn.IFS(C193&lt;=1000,"LOW",C193&lt;=2500,"MEDIUM",C193&gt;2500,"HIGH")</f>
        <v>MEDIUM</v>
      </c>
    </row>
    <row r="195" spans="1:7" x14ac:dyDescent="0.3">
      <c r="A195" s="44" t="s">
        <v>209</v>
      </c>
      <c r="B195" s="45" t="s">
        <v>264</v>
      </c>
      <c r="C195" s="45">
        <v>1462</v>
      </c>
      <c r="D195" s="45" t="s">
        <v>220</v>
      </c>
      <c r="E195" s="46">
        <v>41705</v>
      </c>
      <c r="F195" s="47" t="s">
        <v>212</v>
      </c>
      <c r="G195" t="str" cm="1">
        <f t="array" ref="G195">_xlfn.IFS(C194&lt;=1000,"LOW",C194&lt;=2500,"MEDIUM",C194&gt;2500,"HIGH")</f>
        <v>MEDIUM</v>
      </c>
    </row>
    <row r="196" spans="1:7" x14ac:dyDescent="0.3">
      <c r="A196" s="44" t="s">
        <v>231</v>
      </c>
      <c r="B196" s="45" t="s">
        <v>302</v>
      </c>
      <c r="C196" s="45">
        <v>1465</v>
      </c>
      <c r="D196" s="45" t="s">
        <v>211</v>
      </c>
      <c r="E196" s="46">
        <v>41689</v>
      </c>
      <c r="F196" s="47" t="s">
        <v>212</v>
      </c>
      <c r="G196" t="str" cm="1">
        <f t="array" ref="G196">_xlfn.IFS(C195&lt;=1000,"LOW",C195&lt;=2500,"MEDIUM",C195&gt;2500,"HIGH")</f>
        <v>MEDIUM</v>
      </c>
    </row>
    <row r="197" spans="1:7" x14ac:dyDescent="0.3">
      <c r="A197" s="44" t="s">
        <v>236</v>
      </c>
      <c r="B197" s="45" t="s">
        <v>286</v>
      </c>
      <c r="C197" s="45">
        <v>1465</v>
      </c>
      <c r="D197" s="45" t="s">
        <v>222</v>
      </c>
      <c r="E197" s="46">
        <v>42115</v>
      </c>
      <c r="F197" s="47" t="s">
        <v>216</v>
      </c>
      <c r="G197" t="str" cm="1">
        <f t="array" ref="G197">_xlfn.IFS(C196&lt;=1000,"LOW",C196&lt;=2500,"MEDIUM",C196&gt;2500,"HIGH")</f>
        <v>MEDIUM</v>
      </c>
    </row>
    <row r="198" spans="1:7" x14ac:dyDescent="0.3">
      <c r="A198" s="44" t="s">
        <v>236</v>
      </c>
      <c r="B198" s="45" t="s">
        <v>298</v>
      </c>
      <c r="C198" s="45">
        <v>1465</v>
      </c>
      <c r="D198" s="45" t="s">
        <v>230</v>
      </c>
      <c r="E198" s="46">
        <v>41993</v>
      </c>
      <c r="F198" s="47" t="s">
        <v>221</v>
      </c>
      <c r="G198" t="str" cm="1">
        <f t="array" ref="G198">_xlfn.IFS(C197&lt;=1000,"LOW",C197&lt;=2500,"MEDIUM",C197&gt;2500,"HIGH")</f>
        <v>MEDIUM</v>
      </c>
    </row>
    <row r="199" spans="1:7" x14ac:dyDescent="0.3">
      <c r="A199" s="44" t="s">
        <v>231</v>
      </c>
      <c r="B199" s="45" t="s">
        <v>289</v>
      </c>
      <c r="C199" s="45">
        <v>1467</v>
      </c>
      <c r="D199" s="45" t="s">
        <v>235</v>
      </c>
      <c r="E199" s="46">
        <v>42256</v>
      </c>
      <c r="F199" s="47" t="s">
        <v>228</v>
      </c>
      <c r="G199" t="str" cm="1">
        <f t="array" ref="G199">_xlfn.IFS(C198&lt;=1000,"LOW",C198&lt;=2500,"MEDIUM",C198&gt;2500,"HIGH")</f>
        <v>MEDIUM</v>
      </c>
    </row>
    <row r="200" spans="1:7" x14ac:dyDescent="0.3">
      <c r="A200" s="44" t="s">
        <v>236</v>
      </c>
      <c r="B200" s="45" t="s">
        <v>292</v>
      </c>
      <c r="C200" s="45">
        <v>1475</v>
      </c>
      <c r="D200" s="45" t="s">
        <v>218</v>
      </c>
      <c r="E200" s="46">
        <v>42146</v>
      </c>
      <c r="F200" s="47" t="s">
        <v>216</v>
      </c>
      <c r="G200" t="str" cm="1">
        <f t="array" ref="G200">_xlfn.IFS(C199&lt;=1000,"LOW",C199&lt;=2500,"MEDIUM",C199&gt;2500,"HIGH")</f>
        <v>MEDIUM</v>
      </c>
    </row>
    <row r="201" spans="1:7" x14ac:dyDescent="0.3">
      <c r="A201" s="44" t="s">
        <v>236</v>
      </c>
      <c r="B201" s="45" t="s">
        <v>298</v>
      </c>
      <c r="C201" s="45">
        <v>1476</v>
      </c>
      <c r="D201" s="45" t="s">
        <v>215</v>
      </c>
      <c r="E201" s="46">
        <v>41761</v>
      </c>
      <c r="F201" s="47" t="s">
        <v>216</v>
      </c>
      <c r="G201" t="str" cm="1">
        <f t="array" ref="G201">_xlfn.IFS(C200&lt;=1000,"LOW",C200&lt;=2500,"MEDIUM",C200&gt;2500,"HIGH")</f>
        <v>MEDIUM</v>
      </c>
    </row>
    <row r="202" spans="1:7" x14ac:dyDescent="0.3">
      <c r="A202" s="44" t="s">
        <v>231</v>
      </c>
      <c r="B202" s="45" t="s">
        <v>279</v>
      </c>
      <c r="C202" s="45">
        <v>1479</v>
      </c>
      <c r="D202" s="45" t="s">
        <v>220</v>
      </c>
      <c r="E202" s="46">
        <v>42159</v>
      </c>
      <c r="F202" s="47" t="s">
        <v>216</v>
      </c>
      <c r="G202" t="str" cm="1">
        <f t="array" ref="G202">_xlfn.IFS(C201&lt;=1000,"LOW",C201&lt;=2500,"MEDIUM",C201&gt;2500,"HIGH")</f>
        <v>MEDIUM</v>
      </c>
    </row>
    <row r="203" spans="1:7" x14ac:dyDescent="0.3">
      <c r="A203" s="44" t="s">
        <v>246</v>
      </c>
      <c r="B203" s="45" t="s">
        <v>303</v>
      </c>
      <c r="C203" s="45">
        <v>1480</v>
      </c>
      <c r="D203" s="45" t="s">
        <v>215</v>
      </c>
      <c r="E203" s="46">
        <v>42332</v>
      </c>
      <c r="F203" s="47" t="s">
        <v>221</v>
      </c>
      <c r="G203" t="str" cm="1">
        <f t="array" ref="G203">_xlfn.IFS(C202&lt;=1000,"LOW",C202&lt;=2500,"MEDIUM",C202&gt;2500,"HIGH")</f>
        <v>MEDIUM</v>
      </c>
    </row>
    <row r="204" spans="1:7" x14ac:dyDescent="0.3">
      <c r="A204" s="44" t="s">
        <v>231</v>
      </c>
      <c r="B204" s="45" t="s">
        <v>302</v>
      </c>
      <c r="C204" s="45">
        <v>1481</v>
      </c>
      <c r="D204" s="45" t="s">
        <v>225</v>
      </c>
      <c r="E204" s="46">
        <v>41744</v>
      </c>
      <c r="F204" s="47" t="s">
        <v>216</v>
      </c>
      <c r="G204" t="str" cm="1">
        <f t="array" ref="G204">_xlfn.IFS(C203&lt;=1000,"LOW",C203&lt;=2500,"MEDIUM",C203&gt;2500,"HIGH")</f>
        <v>MEDIUM</v>
      </c>
    </row>
    <row r="205" spans="1:7" x14ac:dyDescent="0.3">
      <c r="A205" s="44" t="s">
        <v>223</v>
      </c>
      <c r="B205" s="45" t="s">
        <v>304</v>
      </c>
      <c r="C205" s="45">
        <v>1481</v>
      </c>
      <c r="D205" s="45" t="s">
        <v>235</v>
      </c>
      <c r="E205" s="46">
        <v>42359</v>
      </c>
      <c r="F205" s="47" t="s">
        <v>221</v>
      </c>
      <c r="G205" t="str" cm="1">
        <f t="array" ref="G205">_xlfn.IFS(C204&lt;=1000,"LOW",C204&lt;=2500,"MEDIUM",C204&gt;2500,"HIGH")</f>
        <v>MEDIUM</v>
      </c>
    </row>
    <row r="206" spans="1:7" x14ac:dyDescent="0.3">
      <c r="A206" s="44" t="s">
        <v>209</v>
      </c>
      <c r="B206" s="45" t="s">
        <v>270</v>
      </c>
      <c r="C206" s="45">
        <v>1482</v>
      </c>
      <c r="D206" s="45" t="s">
        <v>225</v>
      </c>
      <c r="E206" s="46">
        <v>42106</v>
      </c>
      <c r="F206" s="47" t="s">
        <v>216</v>
      </c>
      <c r="G206" t="str" cm="1">
        <f t="array" ref="G206">_xlfn.IFS(C205&lt;=1000,"LOW",C205&lt;=2500,"MEDIUM",C205&gt;2500,"HIGH")</f>
        <v>MEDIUM</v>
      </c>
    </row>
    <row r="207" spans="1:7" x14ac:dyDescent="0.3">
      <c r="A207" s="44" t="s">
        <v>209</v>
      </c>
      <c r="B207" s="45" t="s">
        <v>219</v>
      </c>
      <c r="C207" s="45">
        <v>1485</v>
      </c>
      <c r="D207" s="45" t="s">
        <v>225</v>
      </c>
      <c r="E207" s="46">
        <v>41938</v>
      </c>
      <c r="F207" s="47" t="s">
        <v>221</v>
      </c>
      <c r="G207" t="str" cm="1">
        <f t="array" ref="G207">_xlfn.IFS(C206&lt;=1000,"LOW",C206&lt;=2500,"MEDIUM",C206&gt;2500,"HIGH")</f>
        <v>MEDIUM</v>
      </c>
    </row>
    <row r="208" spans="1:7" x14ac:dyDescent="0.3">
      <c r="A208" s="44" t="s">
        <v>209</v>
      </c>
      <c r="B208" s="45" t="s">
        <v>219</v>
      </c>
      <c r="C208" s="45">
        <v>1486</v>
      </c>
      <c r="D208" s="45" t="s">
        <v>230</v>
      </c>
      <c r="E208" s="46">
        <v>42340</v>
      </c>
      <c r="F208" s="47" t="s">
        <v>221</v>
      </c>
      <c r="G208" t="str" cm="1">
        <f t="array" ref="G208">_xlfn.IFS(C207&lt;=1000,"LOW",C207&lt;=2500,"MEDIUM",C207&gt;2500,"HIGH")</f>
        <v>MEDIUM</v>
      </c>
    </row>
    <row r="209" spans="1:7" x14ac:dyDescent="0.3">
      <c r="A209" s="44" t="s">
        <v>223</v>
      </c>
      <c r="B209" s="45" t="s">
        <v>293</v>
      </c>
      <c r="C209" s="45">
        <v>1509</v>
      </c>
      <c r="D209" s="45" t="s">
        <v>225</v>
      </c>
      <c r="E209" s="46">
        <v>41774</v>
      </c>
      <c r="F209" s="47" t="s">
        <v>216</v>
      </c>
      <c r="G209" t="str" cm="1">
        <f t="array" ref="G209">_xlfn.IFS(C208&lt;=1000,"LOW",C208&lt;=2500,"MEDIUM",C208&gt;2500,"HIGH")</f>
        <v>MEDIUM</v>
      </c>
    </row>
    <row r="210" spans="1:7" x14ac:dyDescent="0.3">
      <c r="A210" s="44" t="s">
        <v>223</v>
      </c>
      <c r="B210" s="45" t="s">
        <v>263</v>
      </c>
      <c r="C210" s="45">
        <v>1509</v>
      </c>
      <c r="D210" s="45" t="s">
        <v>235</v>
      </c>
      <c r="E210" s="46">
        <v>41892</v>
      </c>
      <c r="F210" s="47" t="s">
        <v>228</v>
      </c>
      <c r="G210" t="str" cm="1">
        <f t="array" ref="G210">_xlfn.IFS(C209&lt;=1000,"LOW",C209&lt;=2500,"MEDIUM",C209&gt;2500,"HIGH")</f>
        <v>MEDIUM</v>
      </c>
    </row>
    <row r="211" spans="1:7" x14ac:dyDescent="0.3">
      <c r="A211" s="44" t="s">
        <v>233</v>
      </c>
      <c r="B211" s="45" t="s">
        <v>251</v>
      </c>
      <c r="C211" s="45">
        <v>1512</v>
      </c>
      <c r="D211" s="45" t="s">
        <v>230</v>
      </c>
      <c r="E211" s="46">
        <v>42265</v>
      </c>
      <c r="F211" s="47" t="s">
        <v>228</v>
      </c>
      <c r="G211" t="str" cm="1">
        <f t="array" ref="G211">_xlfn.IFS(C210&lt;=1000,"LOW",C210&lt;=2500,"MEDIUM",C210&gt;2500,"HIGH")</f>
        <v>MEDIUM</v>
      </c>
    </row>
    <row r="212" spans="1:7" x14ac:dyDescent="0.3">
      <c r="A212" s="44" t="s">
        <v>246</v>
      </c>
      <c r="B212" s="45" t="s">
        <v>303</v>
      </c>
      <c r="C212" s="45">
        <v>1517</v>
      </c>
      <c r="D212" s="45" t="s">
        <v>222</v>
      </c>
      <c r="E212" s="46">
        <v>41687</v>
      </c>
      <c r="F212" s="47" t="s">
        <v>212</v>
      </c>
      <c r="G212" t="str" cm="1">
        <f t="array" ref="G212">_xlfn.IFS(C211&lt;=1000,"LOW",C211&lt;=2500,"MEDIUM",C211&gt;2500,"HIGH")</f>
        <v>MEDIUM</v>
      </c>
    </row>
    <row r="213" spans="1:7" x14ac:dyDescent="0.3">
      <c r="A213" s="44" t="s">
        <v>213</v>
      </c>
      <c r="B213" s="45" t="s">
        <v>266</v>
      </c>
      <c r="C213" s="45">
        <v>1521</v>
      </c>
      <c r="D213" s="45" t="s">
        <v>230</v>
      </c>
      <c r="E213" s="46">
        <v>42134</v>
      </c>
      <c r="F213" s="47" t="s">
        <v>216</v>
      </c>
      <c r="G213" t="str" cm="1">
        <f t="array" ref="G213">_xlfn.IFS(C212&lt;=1000,"LOW",C212&lt;=2500,"MEDIUM",C212&gt;2500,"HIGH")</f>
        <v>MEDIUM</v>
      </c>
    </row>
    <row r="214" spans="1:7" x14ac:dyDescent="0.3">
      <c r="A214" s="44" t="s">
        <v>223</v>
      </c>
      <c r="B214" s="45" t="s">
        <v>293</v>
      </c>
      <c r="C214" s="45">
        <v>1523</v>
      </c>
      <c r="D214" s="45" t="s">
        <v>230</v>
      </c>
      <c r="E214" s="46">
        <v>42196</v>
      </c>
      <c r="F214" s="47" t="s">
        <v>228</v>
      </c>
      <c r="G214" t="str" cm="1">
        <f t="array" ref="G214">_xlfn.IFS(C213&lt;=1000,"LOW",C213&lt;=2500,"MEDIUM",C213&gt;2500,"HIGH")</f>
        <v>MEDIUM</v>
      </c>
    </row>
    <row r="215" spans="1:7" x14ac:dyDescent="0.3">
      <c r="A215" s="44" t="s">
        <v>239</v>
      </c>
      <c r="B215" s="45" t="s">
        <v>243</v>
      </c>
      <c r="C215" s="45">
        <v>1524</v>
      </c>
      <c r="D215" s="45" t="s">
        <v>211</v>
      </c>
      <c r="E215" s="46">
        <v>41878</v>
      </c>
      <c r="F215" s="47" t="s">
        <v>228</v>
      </c>
      <c r="G215" t="str" cm="1">
        <f t="array" ref="G215">_xlfn.IFS(C214&lt;=1000,"LOW",C214&lt;=2500,"MEDIUM",C214&gt;2500,"HIGH")</f>
        <v>MEDIUM</v>
      </c>
    </row>
    <row r="216" spans="1:7" x14ac:dyDescent="0.3">
      <c r="A216" s="44" t="s">
        <v>223</v>
      </c>
      <c r="B216" s="45" t="s">
        <v>241</v>
      </c>
      <c r="C216" s="45">
        <v>1525</v>
      </c>
      <c r="D216" s="45" t="s">
        <v>222</v>
      </c>
      <c r="E216" s="46">
        <v>41863</v>
      </c>
      <c r="F216" s="47" t="s">
        <v>228</v>
      </c>
      <c r="G216" t="str" cm="1">
        <f t="array" ref="G216">_xlfn.IFS(C215&lt;=1000,"LOW",C215&lt;=2500,"MEDIUM",C215&gt;2500,"HIGH")</f>
        <v>MEDIUM</v>
      </c>
    </row>
    <row r="217" spans="1:7" x14ac:dyDescent="0.3">
      <c r="A217" s="44" t="s">
        <v>239</v>
      </c>
      <c r="B217" s="45" t="s">
        <v>243</v>
      </c>
      <c r="C217" s="45">
        <v>1528</v>
      </c>
      <c r="D217" s="45" t="s">
        <v>220</v>
      </c>
      <c r="E217" s="46">
        <v>41803</v>
      </c>
      <c r="F217" s="47" t="s">
        <v>216</v>
      </c>
      <c r="G217" t="str" cm="1">
        <f t="array" ref="G217">_xlfn.IFS(C216&lt;=1000,"LOW",C216&lt;=2500,"MEDIUM",C216&gt;2500,"HIGH")</f>
        <v>MEDIUM</v>
      </c>
    </row>
    <row r="218" spans="1:7" x14ac:dyDescent="0.3">
      <c r="A218" s="44" t="s">
        <v>209</v>
      </c>
      <c r="B218" s="45" t="s">
        <v>210</v>
      </c>
      <c r="C218" s="45">
        <v>1530</v>
      </c>
      <c r="D218" s="45" t="s">
        <v>245</v>
      </c>
      <c r="E218" s="46">
        <v>42220</v>
      </c>
      <c r="F218" s="47" t="s">
        <v>228</v>
      </c>
      <c r="G218" t="str" cm="1">
        <f t="array" ref="G218">_xlfn.IFS(C217&lt;=1000,"LOW",C217&lt;=2500,"MEDIUM",C217&gt;2500,"HIGH")</f>
        <v>MEDIUM</v>
      </c>
    </row>
    <row r="219" spans="1:7" x14ac:dyDescent="0.3">
      <c r="A219" s="44" t="s">
        <v>223</v>
      </c>
      <c r="B219" s="45" t="s">
        <v>304</v>
      </c>
      <c r="C219" s="45">
        <v>1531</v>
      </c>
      <c r="D219" s="45" t="s">
        <v>245</v>
      </c>
      <c r="E219" s="46">
        <v>41643</v>
      </c>
      <c r="F219" s="47" t="s">
        <v>212</v>
      </c>
      <c r="G219" t="str" cm="1">
        <f t="array" ref="G219">_xlfn.IFS(C218&lt;=1000,"LOW",C218&lt;=2500,"MEDIUM",C218&gt;2500,"HIGH")</f>
        <v>MEDIUM</v>
      </c>
    </row>
    <row r="220" spans="1:7" x14ac:dyDescent="0.3">
      <c r="A220" s="44" t="s">
        <v>231</v>
      </c>
      <c r="B220" s="45" t="s">
        <v>257</v>
      </c>
      <c r="C220" s="45">
        <v>1535</v>
      </c>
      <c r="D220" s="45" t="s">
        <v>215</v>
      </c>
      <c r="E220" s="46">
        <v>41694</v>
      </c>
      <c r="F220" s="47" t="s">
        <v>212</v>
      </c>
      <c r="G220" t="str" cm="1">
        <f t="array" ref="G220">_xlfn.IFS(C219&lt;=1000,"LOW",C219&lt;=2500,"MEDIUM",C219&gt;2500,"HIGH")</f>
        <v>MEDIUM</v>
      </c>
    </row>
    <row r="221" spans="1:7" x14ac:dyDescent="0.3">
      <c r="A221" s="44" t="s">
        <v>233</v>
      </c>
      <c r="B221" s="45" t="s">
        <v>305</v>
      </c>
      <c r="C221" s="45">
        <v>1540</v>
      </c>
      <c r="D221" s="45" t="s">
        <v>218</v>
      </c>
      <c r="E221" s="46">
        <v>41809</v>
      </c>
      <c r="F221" s="47" t="s">
        <v>216</v>
      </c>
      <c r="G221" t="str" cm="1">
        <f t="array" ref="G221">_xlfn.IFS(C220&lt;=1000,"LOW",C220&lt;=2500,"MEDIUM",C220&gt;2500,"HIGH")</f>
        <v>MEDIUM</v>
      </c>
    </row>
    <row r="222" spans="1:7" x14ac:dyDescent="0.3">
      <c r="A222" s="44" t="s">
        <v>223</v>
      </c>
      <c r="B222" s="45" t="s">
        <v>276</v>
      </c>
      <c r="C222" s="45">
        <v>1541</v>
      </c>
      <c r="D222" s="45" t="s">
        <v>215</v>
      </c>
      <c r="E222" s="46">
        <v>41754</v>
      </c>
      <c r="F222" s="47" t="s">
        <v>216</v>
      </c>
      <c r="G222" t="str" cm="1">
        <f t="array" ref="G222">_xlfn.IFS(C221&lt;=1000,"LOW",C221&lt;=2500,"MEDIUM",C221&gt;2500,"HIGH")</f>
        <v>MEDIUM</v>
      </c>
    </row>
    <row r="223" spans="1:7" x14ac:dyDescent="0.3">
      <c r="A223" s="44" t="s">
        <v>236</v>
      </c>
      <c r="B223" s="45" t="s">
        <v>238</v>
      </c>
      <c r="C223" s="45">
        <v>1542</v>
      </c>
      <c r="D223" s="45" t="s">
        <v>230</v>
      </c>
      <c r="E223" s="46">
        <v>41953</v>
      </c>
      <c r="F223" s="47" t="s">
        <v>221</v>
      </c>
      <c r="G223" t="str" cm="1">
        <f t="array" ref="G223">_xlfn.IFS(C222&lt;=1000,"LOW",C222&lt;=2500,"MEDIUM",C222&gt;2500,"HIGH")</f>
        <v>MEDIUM</v>
      </c>
    </row>
    <row r="224" spans="1:7" x14ac:dyDescent="0.3">
      <c r="A224" s="44" t="s">
        <v>209</v>
      </c>
      <c r="B224" s="45" t="s">
        <v>264</v>
      </c>
      <c r="C224" s="45">
        <v>1557</v>
      </c>
      <c r="D224" s="45" t="s">
        <v>254</v>
      </c>
      <c r="E224" s="46">
        <v>42181</v>
      </c>
      <c r="F224" s="47" t="s">
        <v>216</v>
      </c>
      <c r="G224" t="str" cm="1">
        <f t="array" ref="G224">_xlfn.IFS(C223&lt;=1000,"LOW",C223&lt;=2500,"MEDIUM",C223&gt;2500,"HIGH")</f>
        <v>MEDIUM</v>
      </c>
    </row>
    <row r="225" spans="1:7" x14ac:dyDescent="0.3">
      <c r="A225" s="44" t="s">
        <v>213</v>
      </c>
      <c r="B225" s="45" t="s">
        <v>214</v>
      </c>
      <c r="C225" s="45">
        <v>1562</v>
      </c>
      <c r="D225" s="45" t="s">
        <v>225</v>
      </c>
      <c r="E225" s="46">
        <v>41775</v>
      </c>
      <c r="F225" s="47" t="s">
        <v>216</v>
      </c>
      <c r="G225" t="str" cm="1">
        <f t="array" ref="G225">_xlfn.IFS(C224&lt;=1000,"LOW",C224&lt;=2500,"MEDIUM",C224&gt;2500,"HIGH")</f>
        <v>MEDIUM</v>
      </c>
    </row>
    <row r="226" spans="1:7" x14ac:dyDescent="0.3">
      <c r="A226" s="44" t="s">
        <v>223</v>
      </c>
      <c r="B226" s="45" t="s">
        <v>293</v>
      </c>
      <c r="C226" s="45">
        <v>1566</v>
      </c>
      <c r="D226" s="45" t="s">
        <v>218</v>
      </c>
      <c r="E226" s="46">
        <v>42320</v>
      </c>
      <c r="F226" s="47" t="s">
        <v>221</v>
      </c>
      <c r="G226" t="str" cm="1">
        <f t="array" ref="G226">_xlfn.IFS(C225&lt;=1000,"LOW",C225&lt;=2500,"MEDIUM",C225&gt;2500,"HIGH")</f>
        <v>MEDIUM</v>
      </c>
    </row>
    <row r="227" spans="1:7" x14ac:dyDescent="0.3">
      <c r="A227" s="44" t="s">
        <v>231</v>
      </c>
      <c r="B227" s="45" t="s">
        <v>289</v>
      </c>
      <c r="C227" s="45">
        <v>1570</v>
      </c>
      <c r="D227" s="45" t="s">
        <v>220</v>
      </c>
      <c r="E227" s="46">
        <v>42213</v>
      </c>
      <c r="F227" s="47" t="s">
        <v>228</v>
      </c>
      <c r="G227" t="str" cm="1">
        <f t="array" ref="G227">_xlfn.IFS(C226&lt;=1000,"LOW",C226&lt;=2500,"MEDIUM",C226&gt;2500,"HIGH")</f>
        <v>MEDIUM</v>
      </c>
    </row>
    <row r="228" spans="1:7" x14ac:dyDescent="0.3">
      <c r="A228" s="44" t="s">
        <v>223</v>
      </c>
      <c r="B228" s="45" t="s">
        <v>259</v>
      </c>
      <c r="C228" s="45">
        <v>1570</v>
      </c>
      <c r="D228" s="45" t="s">
        <v>254</v>
      </c>
      <c r="E228" s="46">
        <v>41929</v>
      </c>
      <c r="F228" s="47" t="s">
        <v>221</v>
      </c>
      <c r="G228" t="str" cm="1">
        <f t="array" ref="G228">_xlfn.IFS(C227&lt;=1000,"LOW",C227&lt;=2500,"MEDIUM",C227&gt;2500,"HIGH")</f>
        <v>MEDIUM</v>
      </c>
    </row>
    <row r="229" spans="1:7" x14ac:dyDescent="0.3">
      <c r="A229" s="44" t="s">
        <v>233</v>
      </c>
      <c r="B229" s="45" t="s">
        <v>305</v>
      </c>
      <c r="C229" s="45">
        <v>1572</v>
      </c>
      <c r="D229" s="45" t="s">
        <v>230</v>
      </c>
      <c r="E229" s="46">
        <v>41988</v>
      </c>
      <c r="F229" s="47" t="s">
        <v>221</v>
      </c>
      <c r="G229" t="str" cm="1">
        <f t="array" ref="G229">_xlfn.IFS(C228&lt;=1000,"LOW",C228&lt;=2500,"MEDIUM",C228&gt;2500,"HIGH")</f>
        <v>MEDIUM</v>
      </c>
    </row>
    <row r="230" spans="1:7" x14ac:dyDescent="0.3">
      <c r="A230" s="44" t="s">
        <v>209</v>
      </c>
      <c r="B230" s="45" t="s">
        <v>270</v>
      </c>
      <c r="C230" s="45">
        <v>1573</v>
      </c>
      <c r="D230" s="45" t="s">
        <v>211</v>
      </c>
      <c r="E230" s="46">
        <v>42182</v>
      </c>
      <c r="F230" s="47" t="s">
        <v>216</v>
      </c>
      <c r="G230" t="str" cm="1">
        <f t="array" ref="G230">_xlfn.IFS(C229&lt;=1000,"LOW",C229&lt;=2500,"MEDIUM",C229&gt;2500,"HIGH")</f>
        <v>MEDIUM</v>
      </c>
    </row>
    <row r="231" spans="1:7" x14ac:dyDescent="0.3">
      <c r="A231" s="44" t="s">
        <v>231</v>
      </c>
      <c r="B231" s="45" t="s">
        <v>306</v>
      </c>
      <c r="C231" s="45">
        <v>1579</v>
      </c>
      <c r="D231" s="45" t="s">
        <v>225</v>
      </c>
      <c r="E231" s="46">
        <v>42065</v>
      </c>
      <c r="F231" s="47" t="s">
        <v>212</v>
      </c>
      <c r="G231" t="str" cm="1">
        <f t="array" ref="G231">_xlfn.IFS(C230&lt;=1000,"LOW",C230&lt;=2500,"MEDIUM",C230&gt;2500,"HIGH")</f>
        <v>MEDIUM</v>
      </c>
    </row>
    <row r="232" spans="1:7" x14ac:dyDescent="0.3">
      <c r="A232" s="44" t="s">
        <v>236</v>
      </c>
      <c r="B232" s="45" t="s">
        <v>238</v>
      </c>
      <c r="C232" s="45">
        <v>1590</v>
      </c>
      <c r="D232" s="45" t="s">
        <v>220</v>
      </c>
      <c r="E232" s="46">
        <v>41930</v>
      </c>
      <c r="F232" s="47" t="s">
        <v>221</v>
      </c>
      <c r="G232" t="str" cm="1">
        <f t="array" ref="G232">_xlfn.IFS(C231&lt;=1000,"LOW",C231&lt;=2500,"MEDIUM",C231&gt;2500,"HIGH")</f>
        <v>MEDIUM</v>
      </c>
    </row>
    <row r="233" spans="1:7" x14ac:dyDescent="0.3">
      <c r="A233" s="44" t="s">
        <v>236</v>
      </c>
      <c r="B233" s="45" t="s">
        <v>292</v>
      </c>
      <c r="C233" s="45">
        <v>1592</v>
      </c>
      <c r="D233" s="45" t="s">
        <v>230</v>
      </c>
      <c r="E233" s="46">
        <v>41756</v>
      </c>
      <c r="F233" s="47" t="s">
        <v>216</v>
      </c>
      <c r="G233" t="str" cm="1">
        <f t="array" ref="G233">_xlfn.IFS(C232&lt;=1000,"LOW",C232&lt;=2500,"MEDIUM",C232&gt;2500,"HIGH")</f>
        <v>MEDIUM</v>
      </c>
    </row>
    <row r="234" spans="1:7" x14ac:dyDescent="0.3">
      <c r="A234" s="44" t="s">
        <v>233</v>
      </c>
      <c r="B234" s="45" t="s">
        <v>255</v>
      </c>
      <c r="C234" s="45">
        <v>1596</v>
      </c>
      <c r="D234" s="45" t="s">
        <v>245</v>
      </c>
      <c r="E234" s="46">
        <v>41846</v>
      </c>
      <c r="F234" s="47" t="s">
        <v>228</v>
      </c>
      <c r="G234" t="str" cm="1">
        <f t="array" ref="G234">_xlfn.IFS(C233&lt;=1000,"LOW",C233&lt;=2500,"MEDIUM",C233&gt;2500,"HIGH")</f>
        <v>MEDIUM</v>
      </c>
    </row>
    <row r="235" spans="1:7" x14ac:dyDescent="0.3">
      <c r="A235" s="44" t="s">
        <v>233</v>
      </c>
      <c r="B235" s="45" t="s">
        <v>255</v>
      </c>
      <c r="C235" s="45">
        <v>1597</v>
      </c>
      <c r="D235" s="45" t="s">
        <v>220</v>
      </c>
      <c r="E235" s="46">
        <v>42309</v>
      </c>
      <c r="F235" s="47" t="s">
        <v>221</v>
      </c>
      <c r="G235" t="str" cm="1">
        <f t="array" ref="G235">_xlfn.IFS(C234&lt;=1000,"LOW",C234&lt;=2500,"MEDIUM",C234&gt;2500,"HIGH")</f>
        <v>MEDIUM</v>
      </c>
    </row>
    <row r="236" spans="1:7" x14ac:dyDescent="0.3">
      <c r="A236" s="44" t="s">
        <v>246</v>
      </c>
      <c r="B236" s="45" t="s">
        <v>274</v>
      </c>
      <c r="C236" s="45">
        <v>1598</v>
      </c>
      <c r="D236" s="45" t="s">
        <v>215</v>
      </c>
      <c r="E236" s="46">
        <v>41904</v>
      </c>
      <c r="F236" s="47" t="s">
        <v>228</v>
      </c>
      <c r="G236" t="str" cm="1">
        <f t="array" ref="G236">_xlfn.IFS(C235&lt;=1000,"LOW",C235&lt;=2500,"MEDIUM",C235&gt;2500,"HIGH")</f>
        <v>MEDIUM</v>
      </c>
    </row>
    <row r="237" spans="1:7" x14ac:dyDescent="0.3">
      <c r="A237" s="44" t="s">
        <v>223</v>
      </c>
      <c r="B237" s="45" t="s">
        <v>273</v>
      </c>
      <c r="C237" s="45">
        <v>1599</v>
      </c>
      <c r="D237" s="45" t="s">
        <v>218</v>
      </c>
      <c r="E237" s="46">
        <v>42193</v>
      </c>
      <c r="F237" s="47" t="s">
        <v>228</v>
      </c>
      <c r="G237" t="str" cm="1">
        <f t="array" ref="G237">_xlfn.IFS(C236&lt;=1000,"LOW",C236&lt;=2500,"MEDIUM",C236&gt;2500,"HIGH")</f>
        <v>MEDIUM</v>
      </c>
    </row>
    <row r="238" spans="1:7" x14ac:dyDescent="0.3">
      <c r="A238" s="44" t="s">
        <v>231</v>
      </c>
      <c r="B238" s="45" t="s">
        <v>232</v>
      </c>
      <c r="C238" s="45">
        <v>1607</v>
      </c>
      <c r="D238" s="45" t="s">
        <v>235</v>
      </c>
      <c r="E238" s="46">
        <v>41933</v>
      </c>
      <c r="F238" s="47" t="s">
        <v>221</v>
      </c>
      <c r="G238" t="str" cm="1">
        <f t="array" ref="G238">_xlfn.IFS(C237&lt;=1000,"LOW",C237&lt;=2500,"MEDIUM",C237&gt;2500,"HIGH")</f>
        <v>MEDIUM</v>
      </c>
    </row>
    <row r="239" spans="1:7" x14ac:dyDescent="0.3">
      <c r="A239" s="44" t="s">
        <v>246</v>
      </c>
      <c r="B239" s="45" t="s">
        <v>303</v>
      </c>
      <c r="C239" s="45">
        <v>1617</v>
      </c>
      <c r="D239" s="45" t="s">
        <v>215</v>
      </c>
      <c r="E239" s="46">
        <v>42073</v>
      </c>
      <c r="F239" s="47" t="s">
        <v>212</v>
      </c>
      <c r="G239" t="str" cm="1">
        <f t="array" ref="G239">_xlfn.IFS(C238&lt;=1000,"LOW",C238&lt;=2500,"MEDIUM",C238&gt;2500,"HIGH")</f>
        <v>MEDIUM</v>
      </c>
    </row>
    <row r="240" spans="1:7" x14ac:dyDescent="0.3">
      <c r="A240" s="44" t="s">
        <v>231</v>
      </c>
      <c r="B240" s="45" t="s">
        <v>279</v>
      </c>
      <c r="C240" s="45">
        <v>1617</v>
      </c>
      <c r="D240" s="45" t="s">
        <v>254</v>
      </c>
      <c r="E240" s="46">
        <v>42331</v>
      </c>
      <c r="F240" s="47" t="s">
        <v>221</v>
      </c>
      <c r="G240" t="str" cm="1">
        <f t="array" ref="G240">_xlfn.IFS(C239&lt;=1000,"LOW",C239&lt;=2500,"MEDIUM",C239&gt;2500,"HIGH")</f>
        <v>MEDIUM</v>
      </c>
    </row>
    <row r="241" spans="1:7" x14ac:dyDescent="0.3">
      <c r="A241" s="44" t="s">
        <v>236</v>
      </c>
      <c r="B241" s="45" t="s">
        <v>298</v>
      </c>
      <c r="C241" s="45">
        <v>1619</v>
      </c>
      <c r="D241" s="45" t="s">
        <v>235</v>
      </c>
      <c r="E241" s="46">
        <v>41776</v>
      </c>
      <c r="F241" s="47" t="s">
        <v>216</v>
      </c>
      <c r="G241" t="str" cm="1">
        <f t="array" ref="G241">_xlfn.IFS(C240&lt;=1000,"LOW",C240&lt;=2500,"MEDIUM",C240&gt;2500,"HIGH")</f>
        <v>MEDIUM</v>
      </c>
    </row>
    <row r="242" spans="1:7" x14ac:dyDescent="0.3">
      <c r="A242" s="44" t="s">
        <v>231</v>
      </c>
      <c r="B242" s="45" t="s">
        <v>279</v>
      </c>
      <c r="C242" s="45">
        <v>1621</v>
      </c>
      <c r="D242" s="45" t="s">
        <v>230</v>
      </c>
      <c r="E242" s="46">
        <v>41699</v>
      </c>
      <c r="F242" s="47" t="s">
        <v>212</v>
      </c>
      <c r="G242" t="str" cm="1">
        <f t="array" ref="G242">_xlfn.IFS(C241&lt;=1000,"LOW",C241&lt;=2500,"MEDIUM",C241&gt;2500,"HIGH")</f>
        <v>MEDIUM</v>
      </c>
    </row>
    <row r="243" spans="1:7" x14ac:dyDescent="0.3">
      <c r="A243" s="44" t="s">
        <v>209</v>
      </c>
      <c r="B243" s="45" t="s">
        <v>307</v>
      </c>
      <c r="C243" s="45">
        <v>1631</v>
      </c>
      <c r="D243" s="45" t="s">
        <v>225</v>
      </c>
      <c r="E243" s="46">
        <v>41903</v>
      </c>
      <c r="F243" s="47" t="s">
        <v>228</v>
      </c>
      <c r="G243" t="str" cm="1">
        <f t="array" ref="G243">_xlfn.IFS(C242&lt;=1000,"LOW",C242&lt;=2500,"MEDIUM",C242&gt;2500,"HIGH")</f>
        <v>MEDIUM</v>
      </c>
    </row>
    <row r="244" spans="1:7" x14ac:dyDescent="0.3">
      <c r="A244" s="44" t="s">
        <v>233</v>
      </c>
      <c r="B244" s="45" t="s">
        <v>283</v>
      </c>
      <c r="C244" s="45">
        <v>1640</v>
      </c>
      <c r="D244" s="45" t="s">
        <v>235</v>
      </c>
      <c r="E244" s="46">
        <v>42085</v>
      </c>
      <c r="F244" s="47" t="s">
        <v>212</v>
      </c>
      <c r="G244" t="str" cm="1">
        <f t="array" ref="G244">_xlfn.IFS(C243&lt;=1000,"LOW",C243&lt;=2500,"MEDIUM",C243&gt;2500,"HIGH")</f>
        <v>MEDIUM</v>
      </c>
    </row>
    <row r="245" spans="1:7" x14ac:dyDescent="0.3">
      <c r="A245" s="44" t="s">
        <v>209</v>
      </c>
      <c r="B245" s="45" t="s">
        <v>210</v>
      </c>
      <c r="C245" s="45">
        <v>1646</v>
      </c>
      <c r="D245" s="45" t="s">
        <v>254</v>
      </c>
      <c r="E245" s="46">
        <v>42196</v>
      </c>
      <c r="F245" s="47" t="s">
        <v>228</v>
      </c>
      <c r="G245" t="str" cm="1">
        <f t="array" ref="G245">_xlfn.IFS(C244&lt;=1000,"LOW",C244&lt;=2500,"MEDIUM",C244&gt;2500,"HIGH")</f>
        <v>MEDIUM</v>
      </c>
    </row>
    <row r="246" spans="1:7" x14ac:dyDescent="0.3">
      <c r="A246" s="44" t="s">
        <v>233</v>
      </c>
      <c r="B246" s="45" t="s">
        <v>258</v>
      </c>
      <c r="C246" s="45">
        <v>1647</v>
      </c>
      <c r="D246" s="45" t="s">
        <v>245</v>
      </c>
      <c r="E246" s="46">
        <v>41990</v>
      </c>
      <c r="F246" s="47" t="s">
        <v>221</v>
      </c>
      <c r="G246" t="str" cm="1">
        <f t="array" ref="G246">_xlfn.IFS(C245&lt;=1000,"LOW",C245&lt;=2500,"MEDIUM",C245&gt;2500,"HIGH")</f>
        <v>MEDIUM</v>
      </c>
    </row>
    <row r="247" spans="1:7" x14ac:dyDescent="0.3">
      <c r="A247" s="44" t="s">
        <v>223</v>
      </c>
      <c r="B247" s="45" t="s">
        <v>295</v>
      </c>
      <c r="C247" s="45">
        <v>1649</v>
      </c>
      <c r="D247" s="45" t="s">
        <v>230</v>
      </c>
      <c r="E247" s="46">
        <v>41983</v>
      </c>
      <c r="F247" s="47" t="s">
        <v>221</v>
      </c>
      <c r="G247" t="str" cm="1">
        <f t="array" ref="G247">_xlfn.IFS(C246&lt;=1000,"LOW",C246&lt;=2500,"MEDIUM",C246&gt;2500,"HIGH")</f>
        <v>MEDIUM</v>
      </c>
    </row>
    <row r="248" spans="1:7" x14ac:dyDescent="0.3">
      <c r="A248" s="44" t="s">
        <v>239</v>
      </c>
      <c r="B248" s="45" t="s">
        <v>267</v>
      </c>
      <c r="C248" s="45">
        <v>1651</v>
      </c>
      <c r="D248" s="45" t="s">
        <v>245</v>
      </c>
      <c r="E248" s="46">
        <v>41644</v>
      </c>
      <c r="F248" s="47" t="s">
        <v>212</v>
      </c>
      <c r="G248" t="str" cm="1">
        <f t="array" ref="G248">_xlfn.IFS(C247&lt;=1000,"LOW",C247&lt;=2500,"MEDIUM",C247&gt;2500,"HIGH")</f>
        <v>MEDIUM</v>
      </c>
    </row>
    <row r="249" spans="1:7" x14ac:dyDescent="0.3">
      <c r="A249" s="44" t="s">
        <v>213</v>
      </c>
      <c r="B249" s="45" t="s">
        <v>288</v>
      </c>
      <c r="C249" s="45">
        <v>1654</v>
      </c>
      <c r="D249" s="45" t="s">
        <v>220</v>
      </c>
      <c r="E249" s="46">
        <v>42102</v>
      </c>
      <c r="F249" s="47" t="s">
        <v>216</v>
      </c>
      <c r="G249" t="str" cm="1">
        <f t="array" ref="G249">_xlfn.IFS(C248&lt;=1000,"LOW",C248&lt;=2500,"MEDIUM",C248&gt;2500,"HIGH")</f>
        <v>MEDIUM</v>
      </c>
    </row>
    <row r="250" spans="1:7" x14ac:dyDescent="0.3">
      <c r="A250" s="44" t="s">
        <v>233</v>
      </c>
      <c r="B250" s="45" t="s">
        <v>251</v>
      </c>
      <c r="C250" s="45">
        <v>1656</v>
      </c>
      <c r="D250" s="45" t="s">
        <v>230</v>
      </c>
      <c r="E250" s="46">
        <v>41865</v>
      </c>
      <c r="F250" s="47" t="s">
        <v>228</v>
      </c>
      <c r="G250" t="str" cm="1">
        <f t="array" ref="G250">_xlfn.IFS(C249&lt;=1000,"LOW",C249&lt;=2500,"MEDIUM",C249&gt;2500,"HIGH")</f>
        <v>MEDIUM</v>
      </c>
    </row>
    <row r="251" spans="1:7" x14ac:dyDescent="0.3">
      <c r="A251" s="44" t="s">
        <v>223</v>
      </c>
      <c r="B251" s="45" t="s">
        <v>227</v>
      </c>
      <c r="C251" s="45">
        <v>1657</v>
      </c>
      <c r="D251" s="45" t="s">
        <v>218</v>
      </c>
      <c r="E251" s="46">
        <v>42195</v>
      </c>
      <c r="F251" s="47" t="s">
        <v>228</v>
      </c>
      <c r="G251" t="str" cm="1">
        <f t="array" ref="G251">_xlfn.IFS(C250&lt;=1000,"LOW",C250&lt;=2500,"MEDIUM",C250&gt;2500,"HIGH")</f>
        <v>MEDIUM</v>
      </c>
    </row>
    <row r="252" spans="1:7" x14ac:dyDescent="0.3">
      <c r="A252" s="44" t="s">
        <v>236</v>
      </c>
      <c r="B252" s="45" t="s">
        <v>291</v>
      </c>
      <c r="C252" s="45">
        <v>1661</v>
      </c>
      <c r="D252" s="45" t="s">
        <v>245</v>
      </c>
      <c r="E252" s="46">
        <v>42102</v>
      </c>
      <c r="F252" s="47" t="s">
        <v>216</v>
      </c>
      <c r="G252" t="str" cm="1">
        <f t="array" ref="G252">_xlfn.IFS(C251&lt;=1000,"LOW",C251&lt;=2500,"MEDIUM",C251&gt;2500,"HIGH")</f>
        <v>MEDIUM</v>
      </c>
    </row>
    <row r="253" spans="1:7" x14ac:dyDescent="0.3">
      <c r="A253" s="44" t="s">
        <v>233</v>
      </c>
      <c r="B253" s="45" t="s">
        <v>258</v>
      </c>
      <c r="C253" s="45">
        <v>1670</v>
      </c>
      <c r="D253" s="45" t="s">
        <v>225</v>
      </c>
      <c r="E253" s="46">
        <v>42132</v>
      </c>
      <c r="F253" s="47" t="s">
        <v>216</v>
      </c>
      <c r="G253" t="str" cm="1">
        <f t="array" ref="G253">_xlfn.IFS(C252&lt;=1000,"LOW",C252&lt;=2500,"MEDIUM",C252&gt;2500,"HIGH")</f>
        <v>MEDIUM</v>
      </c>
    </row>
    <row r="254" spans="1:7" x14ac:dyDescent="0.3">
      <c r="A254" s="44" t="s">
        <v>233</v>
      </c>
      <c r="B254" s="45" t="s">
        <v>248</v>
      </c>
      <c r="C254" s="45">
        <v>1674</v>
      </c>
      <c r="D254" s="45" t="s">
        <v>218</v>
      </c>
      <c r="E254" s="46">
        <v>41710</v>
      </c>
      <c r="F254" s="47" t="s">
        <v>212</v>
      </c>
      <c r="G254" t="str" cm="1">
        <f t="array" ref="G254">_xlfn.IFS(C253&lt;=1000,"LOW",C253&lt;=2500,"MEDIUM",C253&gt;2500,"HIGH")</f>
        <v>MEDIUM</v>
      </c>
    </row>
    <row r="255" spans="1:7" x14ac:dyDescent="0.3">
      <c r="A255" s="44" t="s">
        <v>223</v>
      </c>
      <c r="B255" s="45" t="s">
        <v>273</v>
      </c>
      <c r="C255" s="45">
        <v>1677</v>
      </c>
      <c r="D255" s="45" t="s">
        <v>218</v>
      </c>
      <c r="E255" s="46">
        <v>42076</v>
      </c>
      <c r="F255" s="47" t="s">
        <v>212</v>
      </c>
      <c r="G255" t="str" cm="1">
        <f t="array" ref="G255">_xlfn.IFS(C254&lt;=1000,"LOW",C254&lt;=2500,"MEDIUM",C254&gt;2500,"HIGH")</f>
        <v>MEDIUM</v>
      </c>
    </row>
    <row r="256" spans="1:7" x14ac:dyDescent="0.3">
      <c r="A256" s="44" t="s">
        <v>233</v>
      </c>
      <c r="B256" s="45" t="s">
        <v>283</v>
      </c>
      <c r="C256" s="45">
        <v>1682</v>
      </c>
      <c r="D256" s="45" t="s">
        <v>211</v>
      </c>
      <c r="E256" s="46">
        <v>42296</v>
      </c>
      <c r="F256" s="47" t="s">
        <v>221</v>
      </c>
      <c r="G256" t="str" cm="1">
        <f t="array" ref="G256">_xlfn.IFS(C255&lt;=1000,"LOW",C255&lt;=2500,"MEDIUM",C255&gt;2500,"HIGH")</f>
        <v>MEDIUM</v>
      </c>
    </row>
    <row r="257" spans="1:7" x14ac:dyDescent="0.3">
      <c r="A257" s="44" t="s">
        <v>223</v>
      </c>
      <c r="B257" s="45" t="s">
        <v>241</v>
      </c>
      <c r="C257" s="45">
        <v>1684</v>
      </c>
      <c r="D257" s="45" t="s">
        <v>220</v>
      </c>
      <c r="E257" s="46">
        <v>42331</v>
      </c>
      <c r="F257" s="47" t="s">
        <v>221</v>
      </c>
      <c r="G257" t="str" cm="1">
        <f t="array" ref="G257">_xlfn.IFS(C256&lt;=1000,"LOW",C256&lt;=2500,"MEDIUM",C256&gt;2500,"HIGH")</f>
        <v>MEDIUM</v>
      </c>
    </row>
    <row r="258" spans="1:7" x14ac:dyDescent="0.3">
      <c r="A258" s="44" t="s">
        <v>236</v>
      </c>
      <c r="B258" s="45" t="s">
        <v>253</v>
      </c>
      <c r="C258" s="45">
        <v>1690</v>
      </c>
      <c r="D258" s="45" t="s">
        <v>225</v>
      </c>
      <c r="E258" s="46">
        <v>42240</v>
      </c>
      <c r="F258" s="47" t="s">
        <v>228</v>
      </c>
      <c r="G258" t="str" cm="1">
        <f t="array" ref="G258">_xlfn.IFS(C257&lt;=1000,"LOW",C257&lt;=2500,"MEDIUM",C257&gt;2500,"HIGH")</f>
        <v>MEDIUM</v>
      </c>
    </row>
    <row r="259" spans="1:7" x14ac:dyDescent="0.3">
      <c r="A259" s="44" t="s">
        <v>223</v>
      </c>
      <c r="B259" s="45" t="s">
        <v>249</v>
      </c>
      <c r="C259" s="45">
        <v>1696</v>
      </c>
      <c r="D259" s="45" t="s">
        <v>218</v>
      </c>
      <c r="E259" s="46">
        <v>41854</v>
      </c>
      <c r="F259" s="47" t="s">
        <v>228</v>
      </c>
      <c r="G259" t="str" cm="1">
        <f t="array" ref="G259">_xlfn.IFS(C258&lt;=1000,"LOW",C258&lt;=2500,"MEDIUM",C258&gt;2500,"HIGH")</f>
        <v>MEDIUM</v>
      </c>
    </row>
    <row r="260" spans="1:7" x14ac:dyDescent="0.3">
      <c r="A260" s="44" t="s">
        <v>231</v>
      </c>
      <c r="B260" s="45" t="s">
        <v>244</v>
      </c>
      <c r="C260" s="45">
        <v>1697</v>
      </c>
      <c r="D260" s="45" t="s">
        <v>222</v>
      </c>
      <c r="E260" s="46">
        <v>41873</v>
      </c>
      <c r="F260" s="47" t="s">
        <v>228</v>
      </c>
      <c r="G260" t="str" cm="1">
        <f t="array" ref="G260">_xlfn.IFS(C259&lt;=1000,"LOW",C259&lt;=2500,"MEDIUM",C259&gt;2500,"HIGH")</f>
        <v>MEDIUM</v>
      </c>
    </row>
    <row r="261" spans="1:7" x14ac:dyDescent="0.3">
      <c r="A261" s="44" t="s">
        <v>209</v>
      </c>
      <c r="B261" s="45" t="s">
        <v>226</v>
      </c>
      <c r="C261" s="45">
        <v>1698</v>
      </c>
      <c r="D261" s="45" t="s">
        <v>235</v>
      </c>
      <c r="E261" s="46">
        <v>41929</v>
      </c>
      <c r="F261" s="47" t="s">
        <v>221</v>
      </c>
      <c r="G261" t="str" cm="1">
        <f t="array" ref="G261">_xlfn.IFS(C260&lt;=1000,"LOW",C260&lt;=2500,"MEDIUM",C260&gt;2500,"HIGH")</f>
        <v>MEDIUM</v>
      </c>
    </row>
    <row r="262" spans="1:7" x14ac:dyDescent="0.3">
      <c r="A262" s="44" t="s">
        <v>233</v>
      </c>
      <c r="B262" s="45" t="s">
        <v>281</v>
      </c>
      <c r="C262" s="45">
        <v>1701</v>
      </c>
      <c r="D262" s="45" t="s">
        <v>245</v>
      </c>
      <c r="E262" s="46">
        <v>42198</v>
      </c>
      <c r="F262" s="47" t="s">
        <v>228</v>
      </c>
      <c r="G262" t="str" cm="1">
        <f t="array" ref="G262">_xlfn.IFS(C261&lt;=1000,"LOW",C261&lt;=2500,"MEDIUM",C261&gt;2500,"HIGH")</f>
        <v>MEDIUM</v>
      </c>
    </row>
    <row r="263" spans="1:7" x14ac:dyDescent="0.3">
      <c r="A263" s="44" t="s">
        <v>233</v>
      </c>
      <c r="B263" s="45" t="s">
        <v>285</v>
      </c>
      <c r="C263" s="45">
        <v>1706</v>
      </c>
      <c r="D263" s="45" t="s">
        <v>220</v>
      </c>
      <c r="E263" s="46">
        <v>42067</v>
      </c>
      <c r="F263" s="47" t="s">
        <v>212</v>
      </c>
      <c r="G263" t="str" cm="1">
        <f t="array" ref="G263">_xlfn.IFS(C262&lt;=1000,"LOW",C262&lt;=2500,"MEDIUM",C262&gt;2500,"HIGH")</f>
        <v>MEDIUM</v>
      </c>
    </row>
    <row r="264" spans="1:7" x14ac:dyDescent="0.3">
      <c r="A264" s="44" t="s">
        <v>246</v>
      </c>
      <c r="B264" s="45" t="s">
        <v>274</v>
      </c>
      <c r="C264" s="45">
        <v>1707</v>
      </c>
      <c r="D264" s="45" t="s">
        <v>211</v>
      </c>
      <c r="E264" s="46">
        <v>42137</v>
      </c>
      <c r="F264" s="47" t="s">
        <v>216</v>
      </c>
      <c r="G264" t="str" cm="1">
        <f t="array" ref="G264">_xlfn.IFS(C263&lt;=1000,"LOW",C263&lt;=2500,"MEDIUM",C263&gt;2500,"HIGH")</f>
        <v>MEDIUM</v>
      </c>
    </row>
    <row r="265" spans="1:7" x14ac:dyDescent="0.3">
      <c r="A265" s="44" t="s">
        <v>213</v>
      </c>
      <c r="B265" s="45" t="s">
        <v>229</v>
      </c>
      <c r="C265" s="45">
        <v>1710</v>
      </c>
      <c r="D265" s="45" t="s">
        <v>235</v>
      </c>
      <c r="E265" s="46">
        <v>41988</v>
      </c>
      <c r="F265" s="47" t="s">
        <v>221</v>
      </c>
      <c r="G265" t="str" cm="1">
        <f t="array" ref="G265">_xlfn.IFS(C264&lt;=1000,"LOW",C264&lt;=2500,"MEDIUM",C264&gt;2500,"HIGH")</f>
        <v>MEDIUM</v>
      </c>
    </row>
    <row r="266" spans="1:7" x14ac:dyDescent="0.3">
      <c r="A266" s="44" t="s">
        <v>236</v>
      </c>
      <c r="B266" s="45" t="s">
        <v>308</v>
      </c>
      <c r="C266" s="45">
        <v>1711</v>
      </c>
      <c r="D266" s="45" t="s">
        <v>218</v>
      </c>
      <c r="E266" s="46">
        <v>41875</v>
      </c>
      <c r="F266" s="47" t="s">
        <v>228</v>
      </c>
      <c r="G266" t="str" cm="1">
        <f t="array" ref="G266">_xlfn.IFS(C265&lt;=1000,"LOW",C265&lt;=2500,"MEDIUM",C265&gt;2500,"HIGH")</f>
        <v>MEDIUM</v>
      </c>
    </row>
    <row r="267" spans="1:7" x14ac:dyDescent="0.3">
      <c r="A267" s="44" t="s">
        <v>223</v>
      </c>
      <c r="B267" s="45" t="s">
        <v>282</v>
      </c>
      <c r="C267" s="45">
        <v>1717</v>
      </c>
      <c r="D267" s="45" t="s">
        <v>230</v>
      </c>
      <c r="E267" s="46">
        <v>41818</v>
      </c>
      <c r="F267" s="47" t="s">
        <v>216</v>
      </c>
      <c r="G267" t="str" cm="1">
        <f t="array" ref="G267">_xlfn.IFS(C266&lt;=1000,"LOW",C266&lt;=2500,"MEDIUM",C266&gt;2500,"HIGH")</f>
        <v>MEDIUM</v>
      </c>
    </row>
    <row r="268" spans="1:7" x14ac:dyDescent="0.3">
      <c r="A268" s="44" t="s">
        <v>209</v>
      </c>
      <c r="B268" s="45" t="s">
        <v>307</v>
      </c>
      <c r="C268" s="45">
        <v>1726</v>
      </c>
      <c r="D268" s="45" t="s">
        <v>254</v>
      </c>
      <c r="E268" s="46">
        <v>41779</v>
      </c>
      <c r="F268" s="47" t="s">
        <v>216</v>
      </c>
      <c r="G268" t="str" cm="1">
        <f t="array" ref="G268">_xlfn.IFS(C267&lt;=1000,"LOW",C267&lt;=2500,"MEDIUM",C267&gt;2500,"HIGH")</f>
        <v>MEDIUM</v>
      </c>
    </row>
    <row r="269" spans="1:7" x14ac:dyDescent="0.3">
      <c r="A269" s="44" t="s">
        <v>233</v>
      </c>
      <c r="B269" s="45" t="s">
        <v>252</v>
      </c>
      <c r="C269" s="45">
        <v>1731</v>
      </c>
      <c r="D269" s="45" t="s">
        <v>222</v>
      </c>
      <c r="E269" s="46">
        <v>41986</v>
      </c>
      <c r="F269" s="47" t="s">
        <v>221</v>
      </c>
      <c r="G269" t="str" cm="1">
        <f t="array" ref="G269">_xlfn.IFS(C268&lt;=1000,"LOW",C268&lt;=2500,"MEDIUM",C268&gt;2500,"HIGH")</f>
        <v>MEDIUM</v>
      </c>
    </row>
    <row r="270" spans="1:7" x14ac:dyDescent="0.3">
      <c r="A270" s="44" t="s">
        <v>223</v>
      </c>
      <c r="B270" s="45" t="s">
        <v>295</v>
      </c>
      <c r="C270" s="45">
        <v>1732</v>
      </c>
      <c r="D270" s="45" t="s">
        <v>220</v>
      </c>
      <c r="E270" s="46">
        <v>41855</v>
      </c>
      <c r="F270" s="47" t="s">
        <v>228</v>
      </c>
      <c r="G270" t="str" cm="1">
        <f t="array" ref="G270">_xlfn.IFS(C269&lt;=1000,"LOW",C269&lt;=2500,"MEDIUM",C269&gt;2500,"HIGH")</f>
        <v>MEDIUM</v>
      </c>
    </row>
    <row r="271" spans="1:7" x14ac:dyDescent="0.3">
      <c r="A271" s="44" t="s">
        <v>233</v>
      </c>
      <c r="B271" s="45" t="s">
        <v>265</v>
      </c>
      <c r="C271" s="45">
        <v>1740</v>
      </c>
      <c r="D271" s="45" t="s">
        <v>245</v>
      </c>
      <c r="E271" s="46">
        <v>42137</v>
      </c>
      <c r="F271" s="47" t="s">
        <v>216</v>
      </c>
      <c r="G271" t="str" cm="1">
        <f t="array" ref="G271">_xlfn.IFS(C270&lt;=1000,"LOW",C270&lt;=2500,"MEDIUM",C270&gt;2500,"HIGH")</f>
        <v>MEDIUM</v>
      </c>
    </row>
    <row r="272" spans="1:7" x14ac:dyDescent="0.3">
      <c r="A272" s="44" t="s">
        <v>231</v>
      </c>
      <c r="B272" s="45" t="s">
        <v>232</v>
      </c>
      <c r="C272" s="45">
        <v>1741</v>
      </c>
      <c r="D272" s="45" t="s">
        <v>220</v>
      </c>
      <c r="E272" s="46">
        <v>42211</v>
      </c>
      <c r="F272" s="47" t="s">
        <v>228</v>
      </c>
      <c r="G272" t="str" cm="1">
        <f t="array" ref="G272">_xlfn.IFS(C271&lt;=1000,"LOW",C271&lt;=2500,"MEDIUM",C271&gt;2500,"HIGH")</f>
        <v>MEDIUM</v>
      </c>
    </row>
    <row r="273" spans="1:7" x14ac:dyDescent="0.3">
      <c r="A273" s="44" t="s">
        <v>231</v>
      </c>
      <c r="B273" s="45" t="s">
        <v>271</v>
      </c>
      <c r="C273" s="45">
        <v>1742</v>
      </c>
      <c r="D273" s="45" t="s">
        <v>220</v>
      </c>
      <c r="E273" s="46">
        <v>42226</v>
      </c>
      <c r="F273" s="47" t="s">
        <v>228</v>
      </c>
      <c r="G273" t="str" cm="1">
        <f t="array" ref="G273">_xlfn.IFS(C272&lt;=1000,"LOW",C272&lt;=2500,"MEDIUM",C272&gt;2500,"HIGH")</f>
        <v>MEDIUM</v>
      </c>
    </row>
    <row r="274" spans="1:7" x14ac:dyDescent="0.3">
      <c r="A274" s="44" t="s">
        <v>239</v>
      </c>
      <c r="B274" s="45" t="s">
        <v>243</v>
      </c>
      <c r="C274" s="45">
        <v>1746</v>
      </c>
      <c r="D274" s="45" t="s">
        <v>220</v>
      </c>
      <c r="E274" s="46">
        <v>42000</v>
      </c>
      <c r="F274" s="47" t="s">
        <v>221</v>
      </c>
      <c r="G274" t="str" cm="1">
        <f t="array" ref="G274">_xlfn.IFS(C273&lt;=1000,"LOW",C273&lt;=2500,"MEDIUM",C273&gt;2500,"HIGH")</f>
        <v>MEDIUM</v>
      </c>
    </row>
    <row r="275" spans="1:7" x14ac:dyDescent="0.3">
      <c r="A275" s="44" t="s">
        <v>209</v>
      </c>
      <c r="B275" s="45" t="s">
        <v>270</v>
      </c>
      <c r="C275" s="45">
        <v>1755</v>
      </c>
      <c r="D275" s="45" t="s">
        <v>225</v>
      </c>
      <c r="E275" s="46">
        <v>42350</v>
      </c>
      <c r="F275" s="47" t="s">
        <v>221</v>
      </c>
      <c r="G275" t="str" cm="1">
        <f t="array" ref="G275">_xlfn.IFS(C274&lt;=1000,"LOW",C274&lt;=2500,"MEDIUM",C274&gt;2500,"HIGH")</f>
        <v>MEDIUM</v>
      </c>
    </row>
    <row r="276" spans="1:7" x14ac:dyDescent="0.3">
      <c r="A276" s="44" t="s">
        <v>236</v>
      </c>
      <c r="B276" s="45" t="s">
        <v>253</v>
      </c>
      <c r="C276" s="45">
        <v>1756</v>
      </c>
      <c r="D276" s="45" t="s">
        <v>225</v>
      </c>
      <c r="E276" s="46">
        <v>41927</v>
      </c>
      <c r="F276" s="47" t="s">
        <v>221</v>
      </c>
      <c r="G276" t="str" cm="1">
        <f t="array" ref="G276">_xlfn.IFS(C275&lt;=1000,"LOW",C275&lt;=2500,"MEDIUM",C275&gt;2500,"HIGH")</f>
        <v>MEDIUM</v>
      </c>
    </row>
    <row r="277" spans="1:7" x14ac:dyDescent="0.3">
      <c r="A277" s="44" t="s">
        <v>239</v>
      </c>
      <c r="B277" s="45" t="s">
        <v>267</v>
      </c>
      <c r="C277" s="45">
        <v>1763</v>
      </c>
      <c r="D277" s="45" t="s">
        <v>222</v>
      </c>
      <c r="E277" s="46">
        <v>42042</v>
      </c>
      <c r="F277" s="47" t="s">
        <v>212</v>
      </c>
      <c r="G277" t="str" cm="1">
        <f t="array" ref="G277">_xlfn.IFS(C276&lt;=1000,"LOW",C276&lt;=2500,"MEDIUM",C276&gt;2500,"HIGH")</f>
        <v>MEDIUM</v>
      </c>
    </row>
    <row r="278" spans="1:7" x14ac:dyDescent="0.3">
      <c r="A278" s="44" t="s">
        <v>213</v>
      </c>
      <c r="B278" s="45" t="s">
        <v>217</v>
      </c>
      <c r="C278" s="45">
        <v>1770</v>
      </c>
      <c r="D278" s="45" t="s">
        <v>235</v>
      </c>
      <c r="E278" s="46">
        <v>41915</v>
      </c>
      <c r="F278" s="47" t="s">
        <v>221</v>
      </c>
      <c r="G278" t="str" cm="1">
        <f t="array" ref="G278">_xlfn.IFS(C277&lt;=1000,"LOW",C277&lt;=2500,"MEDIUM",C277&gt;2500,"HIGH")</f>
        <v>MEDIUM</v>
      </c>
    </row>
    <row r="279" spans="1:7" x14ac:dyDescent="0.3">
      <c r="A279" s="44" t="s">
        <v>223</v>
      </c>
      <c r="B279" s="45" t="s">
        <v>282</v>
      </c>
      <c r="C279" s="45">
        <v>1776</v>
      </c>
      <c r="D279" s="45" t="s">
        <v>218</v>
      </c>
      <c r="E279" s="46">
        <v>42071</v>
      </c>
      <c r="F279" s="47" t="s">
        <v>212</v>
      </c>
      <c r="G279" t="str" cm="1">
        <f t="array" ref="G279">_xlfn.IFS(C278&lt;=1000,"LOW",C278&lt;=2500,"MEDIUM",C278&gt;2500,"HIGH")</f>
        <v>MEDIUM</v>
      </c>
    </row>
    <row r="280" spans="1:7" x14ac:dyDescent="0.3">
      <c r="A280" s="44" t="s">
        <v>233</v>
      </c>
      <c r="B280" s="45" t="s">
        <v>234</v>
      </c>
      <c r="C280" s="45">
        <v>1780</v>
      </c>
      <c r="D280" s="45" t="s">
        <v>220</v>
      </c>
      <c r="E280" s="46">
        <v>42028</v>
      </c>
      <c r="F280" s="47" t="s">
        <v>212</v>
      </c>
      <c r="G280" t="str" cm="1">
        <f t="array" ref="G280">_xlfn.IFS(C279&lt;=1000,"LOW",C279&lt;=2500,"MEDIUM",C279&gt;2500,"HIGH")</f>
        <v>MEDIUM</v>
      </c>
    </row>
    <row r="281" spans="1:7" x14ac:dyDescent="0.3">
      <c r="A281" s="44" t="s">
        <v>213</v>
      </c>
      <c r="B281" s="45" t="s">
        <v>214</v>
      </c>
      <c r="C281" s="45">
        <v>1780</v>
      </c>
      <c r="D281" s="45" t="s">
        <v>254</v>
      </c>
      <c r="E281" s="46">
        <v>41859</v>
      </c>
      <c r="F281" s="47" t="s">
        <v>228</v>
      </c>
      <c r="G281" t="str" cm="1">
        <f t="array" ref="G281">_xlfn.IFS(C280&lt;=1000,"LOW",C280&lt;=2500,"MEDIUM",C280&gt;2500,"HIGH")</f>
        <v>MEDIUM</v>
      </c>
    </row>
    <row r="282" spans="1:7" x14ac:dyDescent="0.3">
      <c r="A282" s="44" t="s">
        <v>209</v>
      </c>
      <c r="B282" s="45" t="s">
        <v>226</v>
      </c>
      <c r="C282" s="45">
        <v>1780</v>
      </c>
      <c r="D282" s="45" t="s">
        <v>225</v>
      </c>
      <c r="E282" s="46">
        <v>41991</v>
      </c>
      <c r="F282" s="47" t="s">
        <v>221</v>
      </c>
      <c r="G282" t="str" cm="1">
        <f t="array" ref="G282">_xlfn.IFS(C281&lt;=1000,"LOW",C281&lt;=2500,"MEDIUM",C281&gt;2500,"HIGH")</f>
        <v>MEDIUM</v>
      </c>
    </row>
    <row r="283" spans="1:7" x14ac:dyDescent="0.3">
      <c r="A283" s="44" t="s">
        <v>246</v>
      </c>
      <c r="B283" s="45" t="s">
        <v>262</v>
      </c>
      <c r="C283" s="45">
        <v>1783</v>
      </c>
      <c r="D283" s="45" t="s">
        <v>222</v>
      </c>
      <c r="E283" s="46">
        <v>42006</v>
      </c>
      <c r="F283" s="47" t="s">
        <v>212</v>
      </c>
      <c r="G283" t="str" cm="1">
        <f t="array" ref="G283">_xlfn.IFS(C282&lt;=1000,"LOW",C282&lt;=2500,"MEDIUM",C282&gt;2500,"HIGH")</f>
        <v>MEDIUM</v>
      </c>
    </row>
    <row r="284" spans="1:7" x14ac:dyDescent="0.3">
      <c r="A284" s="44" t="s">
        <v>236</v>
      </c>
      <c r="B284" s="45" t="s">
        <v>292</v>
      </c>
      <c r="C284" s="45">
        <v>1784</v>
      </c>
      <c r="D284" s="45" t="s">
        <v>211</v>
      </c>
      <c r="E284" s="46">
        <v>42325</v>
      </c>
      <c r="F284" s="47" t="s">
        <v>221</v>
      </c>
      <c r="G284" t="str" cm="1">
        <f t="array" ref="G284">_xlfn.IFS(C283&lt;=1000,"LOW",C283&lt;=2500,"MEDIUM",C283&gt;2500,"HIGH")</f>
        <v>MEDIUM</v>
      </c>
    </row>
    <row r="285" spans="1:7" x14ac:dyDescent="0.3">
      <c r="A285" s="44" t="s">
        <v>231</v>
      </c>
      <c r="B285" s="45" t="s">
        <v>306</v>
      </c>
      <c r="C285" s="45">
        <v>1787</v>
      </c>
      <c r="D285" s="45" t="s">
        <v>218</v>
      </c>
      <c r="E285" s="46">
        <v>42044</v>
      </c>
      <c r="F285" s="47" t="s">
        <v>212</v>
      </c>
      <c r="G285" t="str" cm="1">
        <f t="array" ref="G285">_xlfn.IFS(C284&lt;=1000,"LOW",C284&lt;=2500,"MEDIUM",C284&gt;2500,"HIGH")</f>
        <v>MEDIUM</v>
      </c>
    </row>
    <row r="286" spans="1:7" x14ac:dyDescent="0.3">
      <c r="A286" s="44" t="s">
        <v>236</v>
      </c>
      <c r="B286" s="45" t="s">
        <v>292</v>
      </c>
      <c r="C286" s="45">
        <v>1791</v>
      </c>
      <c r="D286" s="45" t="s">
        <v>220</v>
      </c>
      <c r="E286" s="46">
        <v>41868</v>
      </c>
      <c r="F286" s="47" t="s">
        <v>228</v>
      </c>
      <c r="G286" t="str" cm="1">
        <f t="array" ref="G286">_xlfn.IFS(C285&lt;=1000,"LOW",C285&lt;=2500,"MEDIUM",C285&gt;2500,"HIGH")</f>
        <v>MEDIUM</v>
      </c>
    </row>
    <row r="287" spans="1:7" x14ac:dyDescent="0.3">
      <c r="A287" s="44" t="s">
        <v>223</v>
      </c>
      <c r="B287" s="45" t="s">
        <v>241</v>
      </c>
      <c r="C287" s="45">
        <v>1792</v>
      </c>
      <c r="D287" s="45" t="s">
        <v>235</v>
      </c>
      <c r="E287" s="46">
        <v>41818</v>
      </c>
      <c r="F287" s="47" t="s">
        <v>216</v>
      </c>
      <c r="G287" t="str" cm="1">
        <f t="array" ref="G287">_xlfn.IFS(C286&lt;=1000,"LOW",C286&lt;=2500,"MEDIUM",C286&gt;2500,"HIGH")</f>
        <v>MEDIUM</v>
      </c>
    </row>
    <row r="288" spans="1:7" x14ac:dyDescent="0.3">
      <c r="A288" s="44" t="s">
        <v>239</v>
      </c>
      <c r="B288" s="45" t="s">
        <v>267</v>
      </c>
      <c r="C288" s="45">
        <v>1792</v>
      </c>
      <c r="D288" s="45" t="s">
        <v>245</v>
      </c>
      <c r="E288" s="46">
        <v>42176</v>
      </c>
      <c r="F288" s="47" t="s">
        <v>216</v>
      </c>
      <c r="G288" t="str" cm="1">
        <f t="array" ref="G288">_xlfn.IFS(C287&lt;=1000,"LOW",C287&lt;=2500,"MEDIUM",C287&gt;2500,"HIGH")</f>
        <v>MEDIUM</v>
      </c>
    </row>
    <row r="289" spans="1:7" x14ac:dyDescent="0.3">
      <c r="A289" s="44" t="s">
        <v>236</v>
      </c>
      <c r="B289" s="45" t="s">
        <v>253</v>
      </c>
      <c r="C289" s="45">
        <v>1793</v>
      </c>
      <c r="D289" s="45" t="s">
        <v>235</v>
      </c>
      <c r="E289" s="46">
        <v>42206</v>
      </c>
      <c r="F289" s="47" t="s">
        <v>228</v>
      </c>
      <c r="G289" t="str" cm="1">
        <f t="array" ref="G289">_xlfn.IFS(C288&lt;=1000,"LOW",C288&lt;=2500,"MEDIUM",C288&gt;2500,"HIGH")</f>
        <v>MEDIUM</v>
      </c>
    </row>
    <row r="290" spans="1:7" x14ac:dyDescent="0.3">
      <c r="A290" s="44" t="s">
        <v>209</v>
      </c>
      <c r="B290" s="45" t="s">
        <v>264</v>
      </c>
      <c r="C290" s="45">
        <v>1794</v>
      </c>
      <c r="D290" s="45" t="s">
        <v>225</v>
      </c>
      <c r="E290" s="46">
        <v>42038</v>
      </c>
      <c r="F290" s="47" t="s">
        <v>212</v>
      </c>
      <c r="G290" t="str" cm="1">
        <f t="array" ref="G290">_xlfn.IFS(C289&lt;=1000,"LOW",C289&lt;=2500,"MEDIUM",C289&gt;2500,"HIGH")</f>
        <v>MEDIUM</v>
      </c>
    </row>
    <row r="291" spans="1:7" x14ac:dyDescent="0.3">
      <c r="A291" s="44" t="s">
        <v>246</v>
      </c>
      <c r="B291" s="45" t="s">
        <v>287</v>
      </c>
      <c r="C291" s="45">
        <v>1809</v>
      </c>
      <c r="D291" s="45" t="s">
        <v>211</v>
      </c>
      <c r="E291" s="46">
        <v>42011</v>
      </c>
      <c r="F291" s="47" t="s">
        <v>212</v>
      </c>
      <c r="G291" t="str" cm="1">
        <f t="array" ref="G291">_xlfn.IFS(C290&lt;=1000,"LOW",C290&lt;=2500,"MEDIUM",C290&gt;2500,"HIGH")</f>
        <v>MEDIUM</v>
      </c>
    </row>
    <row r="292" spans="1:7" x14ac:dyDescent="0.3">
      <c r="A292" s="44" t="s">
        <v>213</v>
      </c>
      <c r="B292" s="45" t="s">
        <v>299</v>
      </c>
      <c r="C292" s="45">
        <v>1809</v>
      </c>
      <c r="D292" s="45" t="s">
        <v>235</v>
      </c>
      <c r="E292" s="46">
        <v>41929</v>
      </c>
      <c r="F292" s="47" t="s">
        <v>221</v>
      </c>
      <c r="G292" t="str" cm="1">
        <f t="array" ref="G292">_xlfn.IFS(C291&lt;=1000,"LOW",C291&lt;=2500,"MEDIUM",C291&gt;2500,"HIGH")</f>
        <v>MEDIUM</v>
      </c>
    </row>
    <row r="293" spans="1:7" x14ac:dyDescent="0.3">
      <c r="A293" s="44" t="s">
        <v>233</v>
      </c>
      <c r="B293" s="45" t="s">
        <v>251</v>
      </c>
      <c r="C293" s="45">
        <v>1811</v>
      </c>
      <c r="D293" s="45" t="s">
        <v>222</v>
      </c>
      <c r="E293" s="46">
        <v>42013</v>
      </c>
      <c r="F293" s="47" t="s">
        <v>212</v>
      </c>
      <c r="G293" t="str" cm="1">
        <f t="array" ref="G293">_xlfn.IFS(C292&lt;=1000,"LOW",C292&lt;=2500,"MEDIUM",C292&gt;2500,"HIGH")</f>
        <v>MEDIUM</v>
      </c>
    </row>
    <row r="294" spans="1:7" x14ac:dyDescent="0.3">
      <c r="A294" s="44" t="s">
        <v>213</v>
      </c>
      <c r="B294" s="45" t="s">
        <v>268</v>
      </c>
      <c r="C294" s="45">
        <v>1813</v>
      </c>
      <c r="D294" s="45" t="s">
        <v>230</v>
      </c>
      <c r="E294" s="46">
        <v>41689</v>
      </c>
      <c r="F294" s="47" t="s">
        <v>212</v>
      </c>
      <c r="G294" t="str" cm="1">
        <f t="array" ref="G294">_xlfn.IFS(C293&lt;=1000,"LOW",C293&lt;=2500,"MEDIUM",C293&gt;2500,"HIGH")</f>
        <v>MEDIUM</v>
      </c>
    </row>
    <row r="295" spans="1:7" x14ac:dyDescent="0.3">
      <c r="A295" s="44" t="s">
        <v>246</v>
      </c>
      <c r="B295" s="45" t="s">
        <v>301</v>
      </c>
      <c r="C295" s="45">
        <v>1815</v>
      </c>
      <c r="D295" s="45" t="s">
        <v>218</v>
      </c>
      <c r="E295" s="46">
        <v>41762</v>
      </c>
      <c r="F295" s="47" t="s">
        <v>216</v>
      </c>
      <c r="G295" t="str" cm="1">
        <f t="array" ref="G295">_xlfn.IFS(C294&lt;=1000,"LOW",C294&lt;=2500,"MEDIUM",C294&gt;2500,"HIGH")</f>
        <v>MEDIUM</v>
      </c>
    </row>
    <row r="296" spans="1:7" x14ac:dyDescent="0.3">
      <c r="A296" s="44" t="s">
        <v>213</v>
      </c>
      <c r="B296" s="45" t="s">
        <v>277</v>
      </c>
      <c r="C296" s="45">
        <v>1819</v>
      </c>
      <c r="D296" s="45" t="s">
        <v>211</v>
      </c>
      <c r="E296" s="46">
        <v>42181</v>
      </c>
      <c r="F296" s="47" t="s">
        <v>216</v>
      </c>
      <c r="G296" t="str" cm="1">
        <f t="array" ref="G296">_xlfn.IFS(C295&lt;=1000,"LOW",C295&lt;=2500,"MEDIUM",C295&gt;2500,"HIGH")</f>
        <v>MEDIUM</v>
      </c>
    </row>
    <row r="297" spans="1:7" x14ac:dyDescent="0.3">
      <c r="A297" s="44" t="s">
        <v>246</v>
      </c>
      <c r="B297" s="45" t="s">
        <v>247</v>
      </c>
      <c r="C297" s="45">
        <v>1822</v>
      </c>
      <c r="D297" s="45" t="s">
        <v>230</v>
      </c>
      <c r="E297" s="46">
        <v>42007</v>
      </c>
      <c r="F297" s="47" t="s">
        <v>212</v>
      </c>
      <c r="G297" t="str" cm="1">
        <f t="array" ref="G297">_xlfn.IFS(C296&lt;=1000,"LOW",C296&lt;=2500,"MEDIUM",C296&gt;2500,"HIGH")</f>
        <v>MEDIUM</v>
      </c>
    </row>
    <row r="298" spans="1:7" x14ac:dyDescent="0.3">
      <c r="A298" s="44" t="s">
        <v>239</v>
      </c>
      <c r="B298" s="45" t="s">
        <v>240</v>
      </c>
      <c r="C298" s="45">
        <v>1822</v>
      </c>
      <c r="D298" s="45" t="s">
        <v>254</v>
      </c>
      <c r="E298" s="46">
        <v>42205</v>
      </c>
      <c r="F298" s="47" t="s">
        <v>228</v>
      </c>
      <c r="G298" t="str" cm="1">
        <f t="array" ref="G298">_xlfn.IFS(C297&lt;=1000,"LOW",C297&lt;=2500,"MEDIUM",C297&gt;2500,"HIGH")</f>
        <v>MEDIUM</v>
      </c>
    </row>
    <row r="299" spans="1:7" x14ac:dyDescent="0.3">
      <c r="A299" s="44" t="s">
        <v>239</v>
      </c>
      <c r="B299" s="45" t="s">
        <v>272</v>
      </c>
      <c r="C299" s="45">
        <v>1834</v>
      </c>
      <c r="D299" s="45" t="s">
        <v>218</v>
      </c>
      <c r="E299" s="46">
        <v>41801</v>
      </c>
      <c r="F299" s="47" t="s">
        <v>216</v>
      </c>
      <c r="G299" t="str" cm="1">
        <f t="array" ref="G299">_xlfn.IFS(C298&lt;=1000,"LOW",C298&lt;=2500,"MEDIUM",C298&gt;2500,"HIGH")</f>
        <v>MEDIUM</v>
      </c>
    </row>
    <row r="300" spans="1:7" x14ac:dyDescent="0.3">
      <c r="A300" s="44" t="s">
        <v>233</v>
      </c>
      <c r="B300" s="45" t="s">
        <v>255</v>
      </c>
      <c r="C300" s="45">
        <v>1845</v>
      </c>
      <c r="D300" s="45" t="s">
        <v>211</v>
      </c>
      <c r="E300" s="46">
        <v>42244</v>
      </c>
      <c r="F300" s="47" t="s">
        <v>228</v>
      </c>
      <c r="G300" t="str" cm="1">
        <f t="array" ref="G300">_xlfn.IFS(C299&lt;=1000,"LOW",C299&lt;=2500,"MEDIUM",C299&gt;2500,"HIGH")</f>
        <v>MEDIUM</v>
      </c>
    </row>
    <row r="301" spans="1:7" x14ac:dyDescent="0.3">
      <c r="A301" s="44" t="s">
        <v>246</v>
      </c>
      <c r="B301" s="45" t="s">
        <v>274</v>
      </c>
      <c r="C301" s="45">
        <v>1849</v>
      </c>
      <c r="D301" s="45" t="s">
        <v>254</v>
      </c>
      <c r="E301" s="46">
        <v>42044</v>
      </c>
      <c r="F301" s="47" t="s">
        <v>212</v>
      </c>
      <c r="G301" t="str" cm="1">
        <f t="array" ref="G301">_xlfn.IFS(C300&lt;=1000,"LOW",C300&lt;=2500,"MEDIUM",C300&gt;2500,"HIGH")</f>
        <v>MEDIUM</v>
      </c>
    </row>
    <row r="302" spans="1:7" x14ac:dyDescent="0.3">
      <c r="A302" s="44" t="s">
        <v>233</v>
      </c>
      <c r="B302" s="45" t="s">
        <v>285</v>
      </c>
      <c r="C302" s="45">
        <v>1854</v>
      </c>
      <c r="D302" s="45" t="s">
        <v>220</v>
      </c>
      <c r="E302" s="46">
        <v>41856</v>
      </c>
      <c r="F302" s="47" t="s">
        <v>228</v>
      </c>
      <c r="G302" t="str" cm="1">
        <f t="array" ref="G302">_xlfn.IFS(C301&lt;=1000,"LOW",C301&lt;=2500,"MEDIUM",C301&gt;2500,"HIGH")</f>
        <v>MEDIUM</v>
      </c>
    </row>
    <row r="303" spans="1:7" x14ac:dyDescent="0.3">
      <c r="A303" s="44" t="s">
        <v>239</v>
      </c>
      <c r="B303" s="45" t="s">
        <v>267</v>
      </c>
      <c r="C303" s="45">
        <v>1854</v>
      </c>
      <c r="D303" s="45" t="s">
        <v>245</v>
      </c>
      <c r="E303" s="46">
        <v>41986</v>
      </c>
      <c r="F303" s="47" t="s">
        <v>221</v>
      </c>
      <c r="G303" t="str" cm="1">
        <f t="array" ref="G303">_xlfn.IFS(C302&lt;=1000,"LOW",C302&lt;=2500,"MEDIUM",C302&gt;2500,"HIGH")</f>
        <v>MEDIUM</v>
      </c>
    </row>
    <row r="304" spans="1:7" x14ac:dyDescent="0.3">
      <c r="A304" s="44" t="s">
        <v>231</v>
      </c>
      <c r="B304" s="45" t="s">
        <v>309</v>
      </c>
      <c r="C304" s="45">
        <v>1862</v>
      </c>
      <c r="D304" s="45" t="s">
        <v>220</v>
      </c>
      <c r="E304" s="46">
        <v>42201</v>
      </c>
      <c r="F304" s="47" t="s">
        <v>228</v>
      </c>
      <c r="G304" t="str" cm="1">
        <f t="array" ref="G304">_xlfn.IFS(C303&lt;=1000,"LOW",C303&lt;=2500,"MEDIUM",C303&gt;2500,"HIGH")</f>
        <v>MEDIUM</v>
      </c>
    </row>
    <row r="305" spans="1:7" x14ac:dyDescent="0.3">
      <c r="A305" s="44" t="s">
        <v>231</v>
      </c>
      <c r="B305" s="45" t="s">
        <v>232</v>
      </c>
      <c r="C305" s="45">
        <v>1866</v>
      </c>
      <c r="D305" s="45" t="s">
        <v>211</v>
      </c>
      <c r="E305" s="46">
        <v>42087</v>
      </c>
      <c r="F305" s="47" t="s">
        <v>212</v>
      </c>
      <c r="G305" t="str" cm="1">
        <f t="array" ref="G305">_xlfn.IFS(C304&lt;=1000,"LOW",C304&lt;=2500,"MEDIUM",C304&gt;2500,"HIGH")</f>
        <v>MEDIUM</v>
      </c>
    </row>
    <row r="306" spans="1:7" x14ac:dyDescent="0.3">
      <c r="A306" s="44" t="s">
        <v>233</v>
      </c>
      <c r="B306" s="45" t="s">
        <v>252</v>
      </c>
      <c r="C306" s="45">
        <v>1866</v>
      </c>
      <c r="D306" s="45" t="s">
        <v>220</v>
      </c>
      <c r="E306" s="46">
        <v>42225</v>
      </c>
      <c r="F306" s="47" t="s">
        <v>228</v>
      </c>
      <c r="G306" t="str" cm="1">
        <f t="array" ref="G306">_xlfn.IFS(C305&lt;=1000,"LOW",C305&lt;=2500,"MEDIUM",C305&gt;2500,"HIGH")</f>
        <v>MEDIUM</v>
      </c>
    </row>
    <row r="307" spans="1:7" x14ac:dyDescent="0.3">
      <c r="A307" s="44" t="s">
        <v>236</v>
      </c>
      <c r="B307" s="45" t="s">
        <v>238</v>
      </c>
      <c r="C307" s="45">
        <v>1869</v>
      </c>
      <c r="D307" s="45" t="s">
        <v>220</v>
      </c>
      <c r="E307" s="46">
        <v>42249</v>
      </c>
      <c r="F307" s="47" t="s">
        <v>228</v>
      </c>
      <c r="G307" t="str" cm="1">
        <f t="array" ref="G307">_xlfn.IFS(C306&lt;=1000,"LOW",C306&lt;=2500,"MEDIUM",C306&gt;2500,"HIGH")</f>
        <v>MEDIUM</v>
      </c>
    </row>
    <row r="308" spans="1:7" x14ac:dyDescent="0.3">
      <c r="A308" s="44" t="s">
        <v>213</v>
      </c>
      <c r="B308" s="45" t="s">
        <v>278</v>
      </c>
      <c r="C308" s="45">
        <v>1870</v>
      </c>
      <c r="D308" s="45" t="s">
        <v>254</v>
      </c>
      <c r="E308" s="46">
        <v>42138</v>
      </c>
      <c r="F308" s="47" t="s">
        <v>216</v>
      </c>
      <c r="G308" t="str" cm="1">
        <f t="array" ref="G308">_xlfn.IFS(C307&lt;=1000,"LOW",C307&lt;=2500,"MEDIUM",C307&gt;2500,"HIGH")</f>
        <v>MEDIUM</v>
      </c>
    </row>
    <row r="309" spans="1:7" x14ac:dyDescent="0.3">
      <c r="A309" s="44" t="s">
        <v>223</v>
      </c>
      <c r="B309" s="45" t="s">
        <v>304</v>
      </c>
      <c r="C309" s="45">
        <v>1871</v>
      </c>
      <c r="D309" s="45" t="s">
        <v>235</v>
      </c>
      <c r="E309" s="46">
        <v>41990</v>
      </c>
      <c r="F309" s="47" t="s">
        <v>221</v>
      </c>
      <c r="G309" t="str" cm="1">
        <f t="array" ref="G309">_xlfn.IFS(C308&lt;=1000,"LOW",C308&lt;=2500,"MEDIUM",C308&gt;2500,"HIGH")</f>
        <v>MEDIUM</v>
      </c>
    </row>
    <row r="310" spans="1:7" x14ac:dyDescent="0.3">
      <c r="A310" s="44" t="s">
        <v>233</v>
      </c>
      <c r="B310" s="45" t="s">
        <v>252</v>
      </c>
      <c r="C310" s="45">
        <v>1873</v>
      </c>
      <c r="D310" s="45" t="s">
        <v>222</v>
      </c>
      <c r="E310" s="46">
        <v>42022</v>
      </c>
      <c r="F310" s="47" t="s">
        <v>212</v>
      </c>
      <c r="G310" t="str" cm="1">
        <f t="array" ref="G310">_xlfn.IFS(C309&lt;=1000,"LOW",C309&lt;=2500,"MEDIUM",C309&gt;2500,"HIGH")</f>
        <v>MEDIUM</v>
      </c>
    </row>
    <row r="311" spans="1:7" x14ac:dyDescent="0.3">
      <c r="A311" s="44" t="s">
        <v>246</v>
      </c>
      <c r="B311" s="45" t="s">
        <v>287</v>
      </c>
      <c r="C311" s="45">
        <v>1880</v>
      </c>
      <c r="D311" s="45" t="s">
        <v>230</v>
      </c>
      <c r="E311" s="46">
        <v>42281</v>
      </c>
      <c r="F311" s="47" t="s">
        <v>221</v>
      </c>
      <c r="G311" t="str" cm="1">
        <f t="array" ref="G311">_xlfn.IFS(C310&lt;=1000,"LOW",C310&lt;=2500,"MEDIUM",C310&gt;2500,"HIGH")</f>
        <v>MEDIUM</v>
      </c>
    </row>
    <row r="312" spans="1:7" x14ac:dyDescent="0.3">
      <c r="A312" s="44" t="s">
        <v>223</v>
      </c>
      <c r="B312" s="45" t="s">
        <v>224</v>
      </c>
      <c r="C312" s="45">
        <v>1884</v>
      </c>
      <c r="D312" s="45" t="s">
        <v>215</v>
      </c>
      <c r="E312" s="46">
        <v>42165</v>
      </c>
      <c r="F312" s="47" t="s">
        <v>216</v>
      </c>
      <c r="G312" t="str" cm="1">
        <f t="array" ref="G312">_xlfn.IFS(C311&lt;=1000,"LOW",C311&lt;=2500,"MEDIUM",C311&gt;2500,"HIGH")</f>
        <v>MEDIUM</v>
      </c>
    </row>
    <row r="313" spans="1:7" x14ac:dyDescent="0.3">
      <c r="A313" s="44" t="s">
        <v>209</v>
      </c>
      <c r="B313" s="45" t="s">
        <v>226</v>
      </c>
      <c r="C313" s="45">
        <v>1886</v>
      </c>
      <c r="D313" s="45" t="s">
        <v>215</v>
      </c>
      <c r="E313" s="46">
        <v>42101</v>
      </c>
      <c r="F313" s="47" t="s">
        <v>216</v>
      </c>
      <c r="G313" t="str" cm="1">
        <f t="array" ref="G313">_xlfn.IFS(C312&lt;=1000,"LOW",C312&lt;=2500,"MEDIUM",C312&gt;2500,"HIGH")</f>
        <v>MEDIUM</v>
      </c>
    </row>
    <row r="314" spans="1:7" x14ac:dyDescent="0.3">
      <c r="A314" s="44" t="s">
        <v>209</v>
      </c>
      <c r="B314" s="45" t="s">
        <v>210</v>
      </c>
      <c r="C314" s="45">
        <v>1892</v>
      </c>
      <c r="D314" s="45" t="s">
        <v>235</v>
      </c>
      <c r="E314" s="46">
        <v>42159</v>
      </c>
      <c r="F314" s="47" t="s">
        <v>216</v>
      </c>
      <c r="G314" t="str" cm="1">
        <f t="array" ref="G314">_xlfn.IFS(C313&lt;=1000,"LOW",C313&lt;=2500,"MEDIUM",C313&gt;2500,"HIGH")</f>
        <v>MEDIUM</v>
      </c>
    </row>
    <row r="315" spans="1:7" x14ac:dyDescent="0.3">
      <c r="A315" s="44" t="s">
        <v>213</v>
      </c>
      <c r="B315" s="45" t="s">
        <v>229</v>
      </c>
      <c r="C315" s="45">
        <v>1893</v>
      </c>
      <c r="D315" s="45" t="s">
        <v>215</v>
      </c>
      <c r="E315" s="46">
        <v>41877</v>
      </c>
      <c r="F315" s="47" t="s">
        <v>228</v>
      </c>
      <c r="G315" t="str" cm="1">
        <f t="array" ref="G315">_xlfn.IFS(C314&lt;=1000,"LOW",C314&lt;=2500,"MEDIUM",C314&gt;2500,"HIGH")</f>
        <v>MEDIUM</v>
      </c>
    </row>
    <row r="316" spans="1:7" x14ac:dyDescent="0.3">
      <c r="A316" s="44" t="s">
        <v>223</v>
      </c>
      <c r="B316" s="45" t="s">
        <v>293</v>
      </c>
      <c r="C316" s="45">
        <v>1905</v>
      </c>
      <c r="D316" s="45" t="s">
        <v>211</v>
      </c>
      <c r="E316" s="46">
        <v>41877</v>
      </c>
      <c r="F316" s="47" t="s">
        <v>228</v>
      </c>
      <c r="G316" t="str" cm="1">
        <f t="array" ref="G316">_xlfn.IFS(C315&lt;=1000,"LOW",C315&lt;=2500,"MEDIUM",C315&gt;2500,"HIGH")</f>
        <v>MEDIUM</v>
      </c>
    </row>
    <row r="317" spans="1:7" x14ac:dyDescent="0.3">
      <c r="A317" s="44" t="s">
        <v>231</v>
      </c>
      <c r="B317" s="45" t="s">
        <v>275</v>
      </c>
      <c r="C317" s="45">
        <v>1912</v>
      </c>
      <c r="D317" s="45" t="s">
        <v>235</v>
      </c>
      <c r="E317" s="46">
        <v>42109</v>
      </c>
      <c r="F317" s="47" t="s">
        <v>216</v>
      </c>
      <c r="G317" t="str" cm="1">
        <f t="array" ref="G317">_xlfn.IFS(C316&lt;=1000,"LOW",C316&lt;=2500,"MEDIUM",C316&gt;2500,"HIGH")</f>
        <v>MEDIUM</v>
      </c>
    </row>
    <row r="318" spans="1:7" x14ac:dyDescent="0.3">
      <c r="A318" s="44" t="s">
        <v>236</v>
      </c>
      <c r="B318" s="45" t="s">
        <v>294</v>
      </c>
      <c r="C318" s="45">
        <v>1913</v>
      </c>
      <c r="D318" s="45" t="s">
        <v>215</v>
      </c>
      <c r="E318" s="46">
        <v>42006</v>
      </c>
      <c r="F318" s="47" t="s">
        <v>212</v>
      </c>
      <c r="G318" t="str" cm="1">
        <f t="array" ref="G318">_xlfn.IFS(C317&lt;=1000,"LOW",C317&lt;=2500,"MEDIUM",C317&gt;2500,"HIGH")</f>
        <v>MEDIUM</v>
      </c>
    </row>
    <row r="319" spans="1:7" x14ac:dyDescent="0.3">
      <c r="A319" s="44" t="s">
        <v>233</v>
      </c>
      <c r="B319" s="45" t="s">
        <v>310</v>
      </c>
      <c r="C319" s="45">
        <v>1919</v>
      </c>
      <c r="D319" s="45" t="s">
        <v>245</v>
      </c>
      <c r="E319" s="46">
        <v>42116</v>
      </c>
      <c r="F319" s="47" t="s">
        <v>216</v>
      </c>
      <c r="G319" t="str" cm="1">
        <f t="array" ref="G319">_xlfn.IFS(C318&lt;=1000,"LOW",C318&lt;=2500,"MEDIUM",C318&gt;2500,"HIGH")</f>
        <v>MEDIUM</v>
      </c>
    </row>
    <row r="320" spans="1:7" x14ac:dyDescent="0.3">
      <c r="A320" s="44" t="s">
        <v>223</v>
      </c>
      <c r="B320" s="45" t="s">
        <v>282</v>
      </c>
      <c r="C320" s="45">
        <v>1921</v>
      </c>
      <c r="D320" s="45" t="s">
        <v>211</v>
      </c>
      <c r="E320" s="46">
        <v>42074</v>
      </c>
      <c r="F320" s="47" t="s">
        <v>212</v>
      </c>
      <c r="G320" t="str" cm="1">
        <f t="array" ref="G320">_xlfn.IFS(C319&lt;=1000,"LOW",C319&lt;=2500,"MEDIUM",C319&gt;2500,"HIGH")</f>
        <v>MEDIUM</v>
      </c>
    </row>
    <row r="321" spans="1:7" x14ac:dyDescent="0.3">
      <c r="A321" s="44" t="s">
        <v>233</v>
      </c>
      <c r="B321" s="45" t="s">
        <v>251</v>
      </c>
      <c r="C321" s="45">
        <v>1921</v>
      </c>
      <c r="D321" s="45" t="s">
        <v>254</v>
      </c>
      <c r="E321" s="46">
        <v>42113</v>
      </c>
      <c r="F321" s="47" t="s">
        <v>216</v>
      </c>
      <c r="G321" t="str" cm="1">
        <f t="array" ref="G321">_xlfn.IFS(C320&lt;=1000,"LOW",C320&lt;=2500,"MEDIUM",C320&gt;2500,"HIGH")</f>
        <v>MEDIUM</v>
      </c>
    </row>
    <row r="322" spans="1:7" x14ac:dyDescent="0.3">
      <c r="A322" s="44" t="s">
        <v>213</v>
      </c>
      <c r="B322" s="45" t="s">
        <v>217</v>
      </c>
      <c r="C322" s="45">
        <v>1930</v>
      </c>
      <c r="D322" s="45" t="s">
        <v>222</v>
      </c>
      <c r="E322" s="46">
        <v>42237</v>
      </c>
      <c r="F322" s="47" t="s">
        <v>228</v>
      </c>
      <c r="G322" t="str" cm="1">
        <f t="array" ref="G322">_xlfn.IFS(C321&lt;=1000,"LOW",C321&lt;=2500,"MEDIUM",C321&gt;2500,"HIGH")</f>
        <v>MEDIUM</v>
      </c>
    </row>
    <row r="323" spans="1:7" x14ac:dyDescent="0.3">
      <c r="A323" s="44" t="s">
        <v>223</v>
      </c>
      <c r="B323" s="45" t="s">
        <v>224</v>
      </c>
      <c r="C323" s="45">
        <v>1931</v>
      </c>
      <c r="D323" s="45" t="s">
        <v>245</v>
      </c>
      <c r="E323" s="46">
        <v>41782</v>
      </c>
      <c r="F323" s="47" t="s">
        <v>216</v>
      </c>
      <c r="G323" t="str" cm="1">
        <f t="array" ref="G323">_xlfn.IFS(C322&lt;=1000,"LOW",C322&lt;=2500,"MEDIUM",C322&gt;2500,"HIGH")</f>
        <v>MEDIUM</v>
      </c>
    </row>
    <row r="324" spans="1:7" x14ac:dyDescent="0.3">
      <c r="A324" s="44" t="s">
        <v>209</v>
      </c>
      <c r="B324" s="45" t="s">
        <v>219</v>
      </c>
      <c r="C324" s="45">
        <v>1938</v>
      </c>
      <c r="D324" s="45" t="s">
        <v>245</v>
      </c>
      <c r="E324" s="46">
        <v>41683</v>
      </c>
      <c r="F324" s="47" t="s">
        <v>212</v>
      </c>
      <c r="G324" t="str" cm="1">
        <f t="array" ref="G324">_xlfn.IFS(C323&lt;=1000,"LOW",C323&lt;=2500,"MEDIUM",C323&gt;2500,"HIGH")</f>
        <v>MEDIUM</v>
      </c>
    </row>
    <row r="325" spans="1:7" x14ac:dyDescent="0.3">
      <c r="A325" s="44" t="s">
        <v>236</v>
      </c>
      <c r="B325" s="45" t="s">
        <v>300</v>
      </c>
      <c r="C325" s="45">
        <v>1948</v>
      </c>
      <c r="D325" s="45" t="s">
        <v>254</v>
      </c>
      <c r="E325" s="46">
        <v>42134</v>
      </c>
      <c r="F325" s="47" t="s">
        <v>216</v>
      </c>
      <c r="G325" t="str" cm="1">
        <f t="array" ref="G325">_xlfn.IFS(C324&lt;=1000,"LOW",C324&lt;=2500,"MEDIUM",C324&gt;2500,"HIGH")</f>
        <v>MEDIUM</v>
      </c>
    </row>
    <row r="326" spans="1:7" x14ac:dyDescent="0.3">
      <c r="A326" s="44" t="s">
        <v>236</v>
      </c>
      <c r="B326" s="45" t="s">
        <v>300</v>
      </c>
      <c r="C326" s="45">
        <v>1951</v>
      </c>
      <c r="D326" s="45" t="s">
        <v>245</v>
      </c>
      <c r="E326" s="46">
        <v>41665</v>
      </c>
      <c r="F326" s="47" t="s">
        <v>212</v>
      </c>
      <c r="G326" t="str" cm="1">
        <f t="array" ref="G326">_xlfn.IFS(C325&lt;=1000,"LOW",C325&lt;=2500,"MEDIUM",C325&gt;2500,"HIGH")</f>
        <v>MEDIUM</v>
      </c>
    </row>
    <row r="327" spans="1:7" x14ac:dyDescent="0.3">
      <c r="A327" s="44" t="s">
        <v>223</v>
      </c>
      <c r="B327" s="45" t="s">
        <v>276</v>
      </c>
      <c r="C327" s="45">
        <v>1955</v>
      </c>
      <c r="D327" s="45" t="s">
        <v>218</v>
      </c>
      <c r="E327" s="46">
        <v>41657</v>
      </c>
      <c r="F327" s="47" t="s">
        <v>212</v>
      </c>
      <c r="G327" t="str" cm="1">
        <f t="array" ref="G327">_xlfn.IFS(C326&lt;=1000,"LOW",C326&lt;=2500,"MEDIUM",C326&gt;2500,"HIGH")</f>
        <v>MEDIUM</v>
      </c>
    </row>
    <row r="328" spans="1:7" x14ac:dyDescent="0.3">
      <c r="A328" s="44" t="s">
        <v>209</v>
      </c>
      <c r="B328" s="45" t="s">
        <v>261</v>
      </c>
      <c r="C328" s="45">
        <v>1962</v>
      </c>
      <c r="D328" s="45" t="s">
        <v>211</v>
      </c>
      <c r="E328" s="46">
        <v>41903</v>
      </c>
      <c r="F328" s="47" t="s">
        <v>228</v>
      </c>
      <c r="G328" t="str" cm="1">
        <f t="array" ref="G328">_xlfn.IFS(C327&lt;=1000,"LOW",C327&lt;=2500,"MEDIUM",C327&gt;2500,"HIGH")</f>
        <v>MEDIUM</v>
      </c>
    </row>
    <row r="329" spans="1:7" x14ac:dyDescent="0.3">
      <c r="A329" s="44" t="s">
        <v>236</v>
      </c>
      <c r="B329" s="45" t="s">
        <v>238</v>
      </c>
      <c r="C329" s="45">
        <v>1964</v>
      </c>
      <c r="D329" s="45" t="s">
        <v>220</v>
      </c>
      <c r="E329" s="46">
        <v>41926</v>
      </c>
      <c r="F329" s="47" t="s">
        <v>221</v>
      </c>
      <c r="G329" t="str" cm="1">
        <f t="array" ref="G329">_xlfn.IFS(C328&lt;=1000,"LOW",C328&lt;=2500,"MEDIUM",C328&gt;2500,"HIGH")</f>
        <v>MEDIUM</v>
      </c>
    </row>
    <row r="330" spans="1:7" x14ac:dyDescent="0.3">
      <c r="A330" s="44" t="s">
        <v>223</v>
      </c>
      <c r="B330" s="45" t="s">
        <v>280</v>
      </c>
      <c r="C330" s="45">
        <v>1966</v>
      </c>
      <c r="D330" s="45" t="s">
        <v>230</v>
      </c>
      <c r="E330" s="46">
        <v>41732</v>
      </c>
      <c r="F330" s="47" t="s">
        <v>216</v>
      </c>
      <c r="G330" t="str" cm="1">
        <f t="array" ref="G330">_xlfn.IFS(C329&lt;=1000,"LOW",C329&lt;=2500,"MEDIUM",C329&gt;2500,"HIGH")</f>
        <v>MEDIUM</v>
      </c>
    </row>
    <row r="331" spans="1:7" x14ac:dyDescent="0.3">
      <c r="A331" s="44" t="s">
        <v>236</v>
      </c>
      <c r="B331" s="45" t="s">
        <v>308</v>
      </c>
      <c r="C331" s="45">
        <v>1968</v>
      </c>
      <c r="D331" s="45" t="s">
        <v>230</v>
      </c>
      <c r="E331" s="46">
        <v>41983</v>
      </c>
      <c r="F331" s="47" t="s">
        <v>221</v>
      </c>
      <c r="G331" t="str" cm="1">
        <f t="array" ref="G331">_xlfn.IFS(C330&lt;=1000,"LOW",C330&lt;=2500,"MEDIUM",C330&gt;2500,"HIGH")</f>
        <v>MEDIUM</v>
      </c>
    </row>
    <row r="332" spans="1:7" x14ac:dyDescent="0.3">
      <c r="A332" s="44" t="s">
        <v>223</v>
      </c>
      <c r="B332" s="45" t="s">
        <v>276</v>
      </c>
      <c r="C332" s="45">
        <v>1970</v>
      </c>
      <c r="D332" s="45" t="s">
        <v>235</v>
      </c>
      <c r="E332" s="46">
        <v>41863</v>
      </c>
      <c r="F332" s="47" t="s">
        <v>228</v>
      </c>
      <c r="G332" t="str" cm="1">
        <f t="array" ref="G332">_xlfn.IFS(C331&lt;=1000,"LOW",C331&lt;=2500,"MEDIUM",C331&gt;2500,"HIGH")</f>
        <v>MEDIUM</v>
      </c>
    </row>
    <row r="333" spans="1:7" x14ac:dyDescent="0.3">
      <c r="A333" s="44" t="s">
        <v>236</v>
      </c>
      <c r="B333" s="45" t="s">
        <v>291</v>
      </c>
      <c r="C333" s="45">
        <v>1974</v>
      </c>
      <c r="D333" s="45" t="s">
        <v>230</v>
      </c>
      <c r="E333" s="46">
        <v>42120</v>
      </c>
      <c r="F333" s="47" t="s">
        <v>216</v>
      </c>
      <c r="G333" t="str" cm="1">
        <f t="array" ref="G333">_xlfn.IFS(C332&lt;=1000,"LOW",C332&lt;=2500,"MEDIUM",C332&gt;2500,"HIGH")</f>
        <v>MEDIUM</v>
      </c>
    </row>
    <row r="334" spans="1:7" x14ac:dyDescent="0.3">
      <c r="A334" s="44" t="s">
        <v>233</v>
      </c>
      <c r="B334" s="45" t="s">
        <v>310</v>
      </c>
      <c r="C334" s="45">
        <v>1976</v>
      </c>
      <c r="D334" s="45" t="s">
        <v>230</v>
      </c>
      <c r="E334" s="46">
        <v>41917</v>
      </c>
      <c r="F334" s="47" t="s">
        <v>221</v>
      </c>
      <c r="G334" t="str" cm="1">
        <f t="array" ref="G334">_xlfn.IFS(C333&lt;=1000,"LOW",C333&lt;=2500,"MEDIUM",C333&gt;2500,"HIGH")</f>
        <v>MEDIUM</v>
      </c>
    </row>
    <row r="335" spans="1:7" x14ac:dyDescent="0.3">
      <c r="A335" s="44" t="s">
        <v>239</v>
      </c>
      <c r="B335" s="45" t="s">
        <v>240</v>
      </c>
      <c r="C335" s="45">
        <v>1980</v>
      </c>
      <c r="D335" s="45" t="s">
        <v>245</v>
      </c>
      <c r="E335" s="46">
        <v>42316</v>
      </c>
      <c r="F335" s="47" t="s">
        <v>221</v>
      </c>
      <c r="G335" t="str" cm="1">
        <f t="array" ref="G335">_xlfn.IFS(C334&lt;=1000,"LOW",C334&lt;=2500,"MEDIUM",C334&gt;2500,"HIGH")</f>
        <v>MEDIUM</v>
      </c>
    </row>
    <row r="336" spans="1:7" x14ac:dyDescent="0.3">
      <c r="A336" s="44" t="s">
        <v>233</v>
      </c>
      <c r="B336" s="45" t="s">
        <v>251</v>
      </c>
      <c r="C336" s="45">
        <v>1981</v>
      </c>
      <c r="D336" s="45" t="s">
        <v>254</v>
      </c>
      <c r="E336" s="46">
        <v>42350</v>
      </c>
      <c r="F336" s="47" t="s">
        <v>221</v>
      </c>
      <c r="G336" t="str" cm="1">
        <f t="array" ref="G336">_xlfn.IFS(C335&lt;=1000,"LOW",C335&lt;=2500,"MEDIUM",C335&gt;2500,"HIGH")</f>
        <v>MEDIUM</v>
      </c>
    </row>
    <row r="337" spans="1:7" x14ac:dyDescent="0.3">
      <c r="A337" s="44" t="s">
        <v>236</v>
      </c>
      <c r="B337" s="45" t="s">
        <v>294</v>
      </c>
      <c r="C337" s="45">
        <v>1982</v>
      </c>
      <c r="D337" s="45" t="s">
        <v>235</v>
      </c>
      <c r="E337" s="46">
        <v>42069</v>
      </c>
      <c r="F337" s="47" t="s">
        <v>212</v>
      </c>
      <c r="G337" t="str" cm="1">
        <f t="array" ref="G337">_xlfn.IFS(C336&lt;=1000,"LOW",C336&lt;=2500,"MEDIUM",C336&gt;2500,"HIGH")</f>
        <v>MEDIUM</v>
      </c>
    </row>
    <row r="338" spans="1:7" x14ac:dyDescent="0.3">
      <c r="A338" s="44" t="s">
        <v>223</v>
      </c>
      <c r="B338" s="45" t="s">
        <v>311</v>
      </c>
      <c r="C338" s="45">
        <v>1991</v>
      </c>
      <c r="D338" s="45" t="s">
        <v>218</v>
      </c>
      <c r="E338" s="46">
        <v>41895</v>
      </c>
      <c r="F338" s="47" t="s">
        <v>228</v>
      </c>
      <c r="G338" t="str" cm="1">
        <f t="array" ref="G338">_xlfn.IFS(C337&lt;=1000,"LOW",C337&lt;=2500,"MEDIUM",C337&gt;2500,"HIGH")</f>
        <v>MEDIUM</v>
      </c>
    </row>
    <row r="339" spans="1:7" x14ac:dyDescent="0.3">
      <c r="A339" s="44" t="s">
        <v>233</v>
      </c>
      <c r="B339" s="45" t="s">
        <v>305</v>
      </c>
      <c r="C339" s="45">
        <v>1994</v>
      </c>
      <c r="D339" s="45" t="s">
        <v>215</v>
      </c>
      <c r="E339" s="46">
        <v>41653</v>
      </c>
      <c r="F339" s="47" t="s">
        <v>212</v>
      </c>
      <c r="G339" t="str" cm="1">
        <f t="array" ref="G339">_xlfn.IFS(C338&lt;=1000,"LOW",C338&lt;=2500,"MEDIUM",C338&gt;2500,"HIGH")</f>
        <v>MEDIUM</v>
      </c>
    </row>
    <row r="340" spans="1:7" x14ac:dyDescent="0.3">
      <c r="A340" s="44" t="s">
        <v>233</v>
      </c>
      <c r="B340" s="45" t="s">
        <v>310</v>
      </c>
      <c r="C340" s="45">
        <v>1996</v>
      </c>
      <c r="D340" s="45" t="s">
        <v>211</v>
      </c>
      <c r="E340" s="46">
        <v>42187</v>
      </c>
      <c r="F340" s="47" t="s">
        <v>228</v>
      </c>
      <c r="G340" t="str" cm="1">
        <f t="array" ref="G340">_xlfn.IFS(C339&lt;=1000,"LOW",C339&lt;=2500,"MEDIUM",C339&gt;2500,"HIGH")</f>
        <v>MEDIUM</v>
      </c>
    </row>
    <row r="341" spans="1:7" x14ac:dyDescent="0.3">
      <c r="A341" s="44" t="s">
        <v>236</v>
      </c>
      <c r="B341" s="45" t="s">
        <v>237</v>
      </c>
      <c r="C341" s="45">
        <v>1997</v>
      </c>
      <c r="D341" s="45" t="s">
        <v>235</v>
      </c>
      <c r="E341" s="46">
        <v>42127</v>
      </c>
      <c r="F341" s="47" t="s">
        <v>216</v>
      </c>
      <c r="G341" t="str" cm="1">
        <f t="array" ref="G341">_xlfn.IFS(C340&lt;=1000,"LOW",C340&lt;=2500,"MEDIUM",C340&gt;2500,"HIGH")</f>
        <v>MEDIUM</v>
      </c>
    </row>
    <row r="342" spans="1:7" x14ac:dyDescent="0.3">
      <c r="A342" s="44" t="s">
        <v>223</v>
      </c>
      <c r="B342" s="45" t="s">
        <v>295</v>
      </c>
      <c r="C342" s="45">
        <v>2000</v>
      </c>
      <c r="D342" s="45" t="s">
        <v>254</v>
      </c>
      <c r="E342" s="46">
        <v>42079</v>
      </c>
      <c r="F342" s="47" t="s">
        <v>212</v>
      </c>
      <c r="G342" t="str" cm="1">
        <f t="array" ref="G342">_xlfn.IFS(C341&lt;=1000,"LOW",C341&lt;=2500,"MEDIUM",C341&gt;2500,"HIGH")</f>
        <v>MEDIUM</v>
      </c>
    </row>
    <row r="343" spans="1:7" x14ac:dyDescent="0.3">
      <c r="A343" s="44" t="s">
        <v>233</v>
      </c>
      <c r="B343" s="45" t="s">
        <v>281</v>
      </c>
      <c r="C343" s="45">
        <v>2003</v>
      </c>
      <c r="D343" s="45" t="s">
        <v>218</v>
      </c>
      <c r="E343" s="46">
        <v>41931</v>
      </c>
      <c r="F343" s="47" t="s">
        <v>221</v>
      </c>
      <c r="G343" t="str" cm="1">
        <f t="array" ref="G343">_xlfn.IFS(C342&lt;=1000,"LOW",C342&lt;=2500,"MEDIUM",C342&gt;2500,"HIGH")</f>
        <v>MEDIUM</v>
      </c>
    </row>
    <row r="344" spans="1:7" x14ac:dyDescent="0.3">
      <c r="A344" s="44" t="s">
        <v>233</v>
      </c>
      <c r="B344" s="45" t="s">
        <v>258</v>
      </c>
      <c r="C344" s="45">
        <v>2003</v>
      </c>
      <c r="D344" s="45" t="s">
        <v>222</v>
      </c>
      <c r="E344" s="46">
        <v>42317</v>
      </c>
      <c r="F344" s="47" t="s">
        <v>221</v>
      </c>
      <c r="G344" t="str" cm="1">
        <f t="array" ref="G344">_xlfn.IFS(C343&lt;=1000,"LOW",C343&lt;=2500,"MEDIUM",C343&gt;2500,"HIGH")</f>
        <v>MEDIUM</v>
      </c>
    </row>
    <row r="345" spans="1:7" x14ac:dyDescent="0.3">
      <c r="A345" s="44" t="s">
        <v>209</v>
      </c>
      <c r="B345" s="45" t="s">
        <v>297</v>
      </c>
      <c r="C345" s="45">
        <v>2007</v>
      </c>
      <c r="D345" s="45" t="s">
        <v>220</v>
      </c>
      <c r="E345" s="46">
        <v>42323</v>
      </c>
      <c r="F345" s="47" t="s">
        <v>221</v>
      </c>
      <c r="G345" t="str" cm="1">
        <f t="array" ref="G345">_xlfn.IFS(C344&lt;=1000,"LOW",C344&lt;=2500,"MEDIUM",C344&gt;2500,"HIGH")</f>
        <v>MEDIUM</v>
      </c>
    </row>
    <row r="346" spans="1:7" x14ac:dyDescent="0.3">
      <c r="A346" s="44" t="s">
        <v>236</v>
      </c>
      <c r="B346" s="45" t="s">
        <v>296</v>
      </c>
      <c r="C346" s="45">
        <v>2011</v>
      </c>
      <c r="D346" s="45" t="s">
        <v>218</v>
      </c>
      <c r="E346" s="46">
        <v>42085</v>
      </c>
      <c r="F346" s="47" t="s">
        <v>212</v>
      </c>
      <c r="G346" t="str" cm="1">
        <f t="array" ref="G346">_xlfn.IFS(C345&lt;=1000,"LOW",C345&lt;=2500,"MEDIUM",C345&gt;2500,"HIGH")</f>
        <v>MEDIUM</v>
      </c>
    </row>
    <row r="347" spans="1:7" x14ac:dyDescent="0.3">
      <c r="A347" s="44" t="s">
        <v>223</v>
      </c>
      <c r="B347" s="45" t="s">
        <v>273</v>
      </c>
      <c r="C347" s="45">
        <v>2013</v>
      </c>
      <c r="D347" s="45" t="s">
        <v>235</v>
      </c>
      <c r="E347" s="46">
        <v>42351</v>
      </c>
      <c r="F347" s="47" t="s">
        <v>221</v>
      </c>
      <c r="G347" t="str" cm="1">
        <f t="array" ref="G347">_xlfn.IFS(C346&lt;=1000,"LOW",C346&lt;=2500,"MEDIUM",C346&gt;2500,"HIGH")</f>
        <v>MEDIUM</v>
      </c>
    </row>
    <row r="348" spans="1:7" x14ac:dyDescent="0.3">
      <c r="A348" s="44" t="s">
        <v>233</v>
      </c>
      <c r="B348" s="45" t="s">
        <v>281</v>
      </c>
      <c r="C348" s="45">
        <v>2015</v>
      </c>
      <c r="D348" s="45" t="s">
        <v>211</v>
      </c>
      <c r="E348" s="46">
        <v>42173</v>
      </c>
      <c r="F348" s="47" t="s">
        <v>216</v>
      </c>
      <c r="G348" t="str" cm="1">
        <f t="array" ref="G348">_xlfn.IFS(C347&lt;=1000,"LOW",C347&lt;=2500,"MEDIUM",C347&gt;2500,"HIGH")</f>
        <v>MEDIUM</v>
      </c>
    </row>
    <row r="349" spans="1:7" x14ac:dyDescent="0.3">
      <c r="A349" s="44" t="s">
        <v>233</v>
      </c>
      <c r="B349" s="45" t="s">
        <v>234</v>
      </c>
      <c r="C349" s="45">
        <v>2019</v>
      </c>
      <c r="D349" s="45" t="s">
        <v>218</v>
      </c>
      <c r="E349" s="46">
        <v>41641</v>
      </c>
      <c r="F349" s="47" t="s">
        <v>212</v>
      </c>
      <c r="G349" t="str" cm="1">
        <f t="array" ref="G349">_xlfn.IFS(C348&lt;=1000,"LOW",C348&lt;=2500,"MEDIUM",C348&gt;2500,"HIGH")</f>
        <v>MEDIUM</v>
      </c>
    </row>
    <row r="350" spans="1:7" x14ac:dyDescent="0.3">
      <c r="A350" s="44" t="s">
        <v>246</v>
      </c>
      <c r="B350" s="45" t="s">
        <v>274</v>
      </c>
      <c r="C350" s="45">
        <v>2019</v>
      </c>
      <c r="D350" s="45" t="s">
        <v>225</v>
      </c>
      <c r="E350" s="46">
        <v>42294</v>
      </c>
      <c r="F350" s="47" t="s">
        <v>221</v>
      </c>
      <c r="G350" t="str" cm="1">
        <f t="array" ref="G350">_xlfn.IFS(C349&lt;=1000,"LOW",C349&lt;=2500,"MEDIUM",C349&gt;2500,"HIGH")</f>
        <v>MEDIUM</v>
      </c>
    </row>
    <row r="351" spans="1:7" x14ac:dyDescent="0.3">
      <c r="A351" s="44" t="s">
        <v>223</v>
      </c>
      <c r="B351" s="45" t="s">
        <v>276</v>
      </c>
      <c r="C351" s="45">
        <v>2022</v>
      </c>
      <c r="D351" s="45" t="s">
        <v>211</v>
      </c>
      <c r="E351" s="46">
        <v>41917</v>
      </c>
      <c r="F351" s="47" t="s">
        <v>221</v>
      </c>
      <c r="G351" t="str" cm="1">
        <f t="array" ref="G351">_xlfn.IFS(C350&lt;=1000,"LOW",C350&lt;=2500,"MEDIUM",C350&gt;2500,"HIGH")</f>
        <v>MEDIUM</v>
      </c>
    </row>
    <row r="352" spans="1:7" x14ac:dyDescent="0.3">
      <c r="A352" s="44" t="s">
        <v>223</v>
      </c>
      <c r="B352" s="45" t="s">
        <v>276</v>
      </c>
      <c r="C352" s="45">
        <v>2024</v>
      </c>
      <c r="D352" s="45" t="s">
        <v>218</v>
      </c>
      <c r="E352" s="46">
        <v>42127</v>
      </c>
      <c r="F352" s="47" t="s">
        <v>216</v>
      </c>
      <c r="G352" t="str" cm="1">
        <f t="array" ref="G352">_xlfn.IFS(C351&lt;=1000,"LOW",C351&lt;=2500,"MEDIUM",C351&gt;2500,"HIGH")</f>
        <v>MEDIUM</v>
      </c>
    </row>
    <row r="353" spans="1:7" x14ac:dyDescent="0.3">
      <c r="A353" s="44" t="s">
        <v>223</v>
      </c>
      <c r="B353" s="45" t="s">
        <v>276</v>
      </c>
      <c r="C353" s="45">
        <v>2025</v>
      </c>
      <c r="D353" s="45" t="s">
        <v>211</v>
      </c>
      <c r="E353" s="46">
        <v>41786</v>
      </c>
      <c r="F353" s="47" t="s">
        <v>216</v>
      </c>
      <c r="G353" t="str" cm="1">
        <f t="array" ref="G353">_xlfn.IFS(C352&lt;=1000,"LOW",C352&lt;=2500,"MEDIUM",C352&gt;2500,"HIGH")</f>
        <v>MEDIUM</v>
      </c>
    </row>
    <row r="354" spans="1:7" x14ac:dyDescent="0.3">
      <c r="A354" s="44" t="s">
        <v>246</v>
      </c>
      <c r="B354" s="45" t="s">
        <v>301</v>
      </c>
      <c r="C354" s="45">
        <v>2028</v>
      </c>
      <c r="D354" s="45" t="s">
        <v>222</v>
      </c>
      <c r="E354" s="46">
        <v>41726</v>
      </c>
      <c r="F354" s="47" t="s">
        <v>212</v>
      </c>
      <c r="G354" t="str" cm="1">
        <f t="array" ref="G354">_xlfn.IFS(C353&lt;=1000,"LOW",C353&lt;=2500,"MEDIUM",C353&gt;2500,"HIGH")</f>
        <v>MEDIUM</v>
      </c>
    </row>
    <row r="355" spans="1:7" x14ac:dyDescent="0.3">
      <c r="A355" s="44" t="s">
        <v>223</v>
      </c>
      <c r="B355" s="45" t="s">
        <v>273</v>
      </c>
      <c r="C355" s="45">
        <v>2028</v>
      </c>
      <c r="D355" s="45" t="s">
        <v>245</v>
      </c>
      <c r="E355" s="46">
        <v>41962</v>
      </c>
      <c r="F355" s="47" t="s">
        <v>221</v>
      </c>
      <c r="G355" t="str" cm="1">
        <f t="array" ref="G355">_xlfn.IFS(C354&lt;=1000,"LOW",C354&lt;=2500,"MEDIUM",C354&gt;2500,"HIGH")</f>
        <v>MEDIUM</v>
      </c>
    </row>
    <row r="356" spans="1:7" x14ac:dyDescent="0.3">
      <c r="A356" s="44" t="s">
        <v>231</v>
      </c>
      <c r="B356" s="45" t="s">
        <v>279</v>
      </c>
      <c r="C356" s="45">
        <v>2030</v>
      </c>
      <c r="D356" s="45" t="s">
        <v>230</v>
      </c>
      <c r="E356" s="46">
        <v>42241</v>
      </c>
      <c r="F356" s="47" t="s">
        <v>228</v>
      </c>
      <c r="G356" t="str" cm="1">
        <f t="array" ref="G356">_xlfn.IFS(C355&lt;=1000,"LOW",C355&lt;=2500,"MEDIUM",C355&gt;2500,"HIGH")</f>
        <v>MEDIUM</v>
      </c>
    </row>
    <row r="357" spans="1:7" x14ac:dyDescent="0.3">
      <c r="A357" s="44" t="s">
        <v>209</v>
      </c>
      <c r="B357" s="45" t="s">
        <v>264</v>
      </c>
      <c r="C357" s="45">
        <v>2031</v>
      </c>
      <c r="D357" s="45" t="s">
        <v>230</v>
      </c>
      <c r="E357" s="46">
        <v>41831</v>
      </c>
      <c r="F357" s="47" t="s">
        <v>228</v>
      </c>
      <c r="G357" t="str" cm="1">
        <f t="array" ref="G357">_xlfn.IFS(C356&lt;=1000,"LOW",C356&lt;=2500,"MEDIUM",C356&gt;2500,"HIGH")</f>
        <v>MEDIUM</v>
      </c>
    </row>
    <row r="358" spans="1:7" x14ac:dyDescent="0.3">
      <c r="A358" s="44" t="s">
        <v>209</v>
      </c>
      <c r="B358" s="45" t="s">
        <v>297</v>
      </c>
      <c r="C358" s="45">
        <v>2034</v>
      </c>
      <c r="D358" s="45" t="s">
        <v>220</v>
      </c>
      <c r="E358" s="46">
        <v>42039</v>
      </c>
      <c r="F358" s="47" t="s">
        <v>212</v>
      </c>
      <c r="G358" t="str" cm="1">
        <f t="array" ref="G358">_xlfn.IFS(C357&lt;=1000,"LOW",C357&lt;=2500,"MEDIUM",C357&gt;2500,"HIGH")</f>
        <v>MEDIUM</v>
      </c>
    </row>
    <row r="359" spans="1:7" x14ac:dyDescent="0.3">
      <c r="A359" s="44" t="s">
        <v>236</v>
      </c>
      <c r="B359" s="45" t="s">
        <v>284</v>
      </c>
      <c r="C359" s="45">
        <v>2037</v>
      </c>
      <c r="D359" s="45" t="s">
        <v>230</v>
      </c>
      <c r="E359" s="46">
        <v>42209</v>
      </c>
      <c r="F359" s="47" t="s">
        <v>228</v>
      </c>
      <c r="G359" t="str" cm="1">
        <f t="array" ref="G359">_xlfn.IFS(C358&lt;=1000,"LOW",C358&lt;=2500,"MEDIUM",C358&gt;2500,"HIGH")</f>
        <v>MEDIUM</v>
      </c>
    </row>
    <row r="360" spans="1:7" x14ac:dyDescent="0.3">
      <c r="A360" s="44" t="s">
        <v>236</v>
      </c>
      <c r="B360" s="45" t="s">
        <v>291</v>
      </c>
      <c r="C360" s="45">
        <v>2049</v>
      </c>
      <c r="D360" s="45" t="s">
        <v>230</v>
      </c>
      <c r="E360" s="46">
        <v>42128</v>
      </c>
      <c r="F360" s="47" t="s">
        <v>216</v>
      </c>
      <c r="G360" t="str" cm="1">
        <f t="array" ref="G360">_xlfn.IFS(C359&lt;=1000,"LOW",C359&lt;=2500,"MEDIUM",C359&gt;2500,"HIGH")</f>
        <v>MEDIUM</v>
      </c>
    </row>
    <row r="361" spans="1:7" x14ac:dyDescent="0.3">
      <c r="A361" s="44" t="s">
        <v>213</v>
      </c>
      <c r="B361" s="45" t="s">
        <v>278</v>
      </c>
      <c r="C361" s="45">
        <v>2055</v>
      </c>
      <c r="D361" s="45" t="s">
        <v>235</v>
      </c>
      <c r="E361" s="46">
        <v>41810</v>
      </c>
      <c r="F361" s="47" t="s">
        <v>216</v>
      </c>
      <c r="G361" t="str" cm="1">
        <f t="array" ref="G361">_xlfn.IFS(C360&lt;=1000,"LOW",C360&lt;=2500,"MEDIUM",C360&gt;2500,"HIGH")</f>
        <v>MEDIUM</v>
      </c>
    </row>
    <row r="362" spans="1:7" x14ac:dyDescent="0.3">
      <c r="A362" s="44" t="s">
        <v>231</v>
      </c>
      <c r="B362" s="45" t="s">
        <v>279</v>
      </c>
      <c r="C362" s="45">
        <v>2055</v>
      </c>
      <c r="D362" s="45" t="s">
        <v>215</v>
      </c>
      <c r="E362" s="46">
        <v>41988</v>
      </c>
      <c r="F362" s="47" t="s">
        <v>221</v>
      </c>
      <c r="G362" t="str" cm="1">
        <f t="array" ref="G362">_xlfn.IFS(C361&lt;=1000,"LOW",C361&lt;=2500,"MEDIUM",C361&gt;2500,"HIGH")</f>
        <v>MEDIUM</v>
      </c>
    </row>
    <row r="363" spans="1:7" x14ac:dyDescent="0.3">
      <c r="A363" s="44" t="s">
        <v>246</v>
      </c>
      <c r="B363" s="45" t="s">
        <v>247</v>
      </c>
      <c r="C363" s="45">
        <v>2062</v>
      </c>
      <c r="D363" s="45" t="s">
        <v>245</v>
      </c>
      <c r="E363" s="46">
        <v>42224</v>
      </c>
      <c r="F363" s="47" t="s">
        <v>228</v>
      </c>
      <c r="G363" t="str" cm="1">
        <f t="array" ref="G363">_xlfn.IFS(C362&lt;=1000,"LOW",C362&lt;=2500,"MEDIUM",C362&gt;2500,"HIGH")</f>
        <v>MEDIUM</v>
      </c>
    </row>
    <row r="364" spans="1:7" x14ac:dyDescent="0.3">
      <c r="A364" s="44" t="s">
        <v>239</v>
      </c>
      <c r="B364" s="45" t="s">
        <v>243</v>
      </c>
      <c r="C364" s="45">
        <v>2070</v>
      </c>
      <c r="D364" s="45" t="s">
        <v>225</v>
      </c>
      <c r="E364" s="46">
        <v>41815</v>
      </c>
      <c r="F364" s="47" t="s">
        <v>216</v>
      </c>
      <c r="G364" t="str" cm="1">
        <f t="array" ref="G364">_xlfn.IFS(C363&lt;=1000,"LOW",C363&lt;=2500,"MEDIUM",C363&gt;2500,"HIGH")</f>
        <v>MEDIUM</v>
      </c>
    </row>
    <row r="365" spans="1:7" x14ac:dyDescent="0.3">
      <c r="A365" s="44" t="s">
        <v>231</v>
      </c>
      <c r="B365" s="45" t="s">
        <v>257</v>
      </c>
      <c r="C365" s="45">
        <v>2071</v>
      </c>
      <c r="D365" s="45" t="s">
        <v>211</v>
      </c>
      <c r="E365" s="46">
        <v>42300</v>
      </c>
      <c r="F365" s="47" t="s">
        <v>221</v>
      </c>
      <c r="G365" t="str" cm="1">
        <f t="array" ref="G365">_xlfn.IFS(C364&lt;=1000,"LOW",C364&lt;=2500,"MEDIUM",C364&gt;2500,"HIGH")</f>
        <v>MEDIUM</v>
      </c>
    </row>
    <row r="366" spans="1:7" x14ac:dyDescent="0.3">
      <c r="A366" s="44" t="s">
        <v>223</v>
      </c>
      <c r="B366" s="45" t="s">
        <v>304</v>
      </c>
      <c r="C366" s="45">
        <v>2074</v>
      </c>
      <c r="D366" s="45" t="s">
        <v>211</v>
      </c>
      <c r="E366" s="46">
        <v>42194</v>
      </c>
      <c r="F366" s="47" t="s">
        <v>228</v>
      </c>
      <c r="G366" t="str" cm="1">
        <f t="array" ref="G366">_xlfn.IFS(C365&lt;=1000,"LOW",C365&lt;=2500,"MEDIUM",C365&gt;2500,"HIGH")</f>
        <v>MEDIUM</v>
      </c>
    </row>
    <row r="367" spans="1:7" x14ac:dyDescent="0.3">
      <c r="A367" s="44" t="s">
        <v>233</v>
      </c>
      <c r="B367" s="45" t="s">
        <v>258</v>
      </c>
      <c r="C367" s="45">
        <v>2076</v>
      </c>
      <c r="D367" s="45" t="s">
        <v>215</v>
      </c>
      <c r="E367" s="46">
        <v>41878</v>
      </c>
      <c r="F367" s="47" t="s">
        <v>228</v>
      </c>
      <c r="G367" t="str" cm="1">
        <f t="array" ref="G367">_xlfn.IFS(C366&lt;=1000,"LOW",C366&lt;=2500,"MEDIUM",C366&gt;2500,"HIGH")</f>
        <v>MEDIUM</v>
      </c>
    </row>
    <row r="368" spans="1:7" x14ac:dyDescent="0.3">
      <c r="A368" s="44" t="s">
        <v>236</v>
      </c>
      <c r="B368" s="45" t="s">
        <v>284</v>
      </c>
      <c r="C368" s="45">
        <v>2078</v>
      </c>
      <c r="D368" s="45" t="s">
        <v>222</v>
      </c>
      <c r="E368" s="46">
        <v>41697</v>
      </c>
      <c r="F368" s="47" t="s">
        <v>212</v>
      </c>
      <c r="G368" t="str" cm="1">
        <f t="array" ref="G368">_xlfn.IFS(C367&lt;=1000,"LOW",C367&lt;=2500,"MEDIUM",C367&gt;2500,"HIGH")</f>
        <v>MEDIUM</v>
      </c>
    </row>
    <row r="369" spans="1:7" x14ac:dyDescent="0.3">
      <c r="A369" s="44" t="s">
        <v>233</v>
      </c>
      <c r="B369" s="45" t="s">
        <v>255</v>
      </c>
      <c r="C369" s="45">
        <v>2082</v>
      </c>
      <c r="D369" s="45" t="s">
        <v>254</v>
      </c>
      <c r="E369" s="46">
        <v>42261</v>
      </c>
      <c r="F369" s="47" t="s">
        <v>228</v>
      </c>
      <c r="G369" t="str" cm="1">
        <f t="array" ref="G369">_xlfn.IFS(C368&lt;=1000,"LOW",C368&lt;=2500,"MEDIUM",C368&gt;2500,"HIGH")</f>
        <v>MEDIUM</v>
      </c>
    </row>
    <row r="370" spans="1:7" x14ac:dyDescent="0.3">
      <c r="A370" s="44" t="s">
        <v>246</v>
      </c>
      <c r="B370" s="45" t="s">
        <v>247</v>
      </c>
      <c r="C370" s="45">
        <v>2082</v>
      </c>
      <c r="D370" s="45" t="s">
        <v>211</v>
      </c>
      <c r="E370" s="46">
        <v>41955</v>
      </c>
      <c r="F370" s="47" t="s">
        <v>221</v>
      </c>
      <c r="G370" t="str" cm="1">
        <f t="array" ref="G370">_xlfn.IFS(C369&lt;=1000,"LOW",C369&lt;=2500,"MEDIUM",C369&gt;2500,"HIGH")</f>
        <v>MEDIUM</v>
      </c>
    </row>
    <row r="371" spans="1:7" x14ac:dyDescent="0.3">
      <c r="A371" s="44" t="s">
        <v>213</v>
      </c>
      <c r="B371" s="45" t="s">
        <v>266</v>
      </c>
      <c r="C371" s="45">
        <v>2083</v>
      </c>
      <c r="D371" s="45" t="s">
        <v>254</v>
      </c>
      <c r="E371" s="46">
        <v>42280</v>
      </c>
      <c r="F371" s="47" t="s">
        <v>221</v>
      </c>
      <c r="G371" t="str" cm="1">
        <f t="array" ref="G371">_xlfn.IFS(C370&lt;=1000,"LOW",C370&lt;=2500,"MEDIUM",C370&gt;2500,"HIGH")</f>
        <v>MEDIUM</v>
      </c>
    </row>
    <row r="372" spans="1:7" x14ac:dyDescent="0.3">
      <c r="A372" s="44" t="s">
        <v>213</v>
      </c>
      <c r="B372" s="45" t="s">
        <v>266</v>
      </c>
      <c r="C372" s="45">
        <v>2086</v>
      </c>
      <c r="D372" s="45" t="s">
        <v>225</v>
      </c>
      <c r="E372" s="46">
        <v>42053</v>
      </c>
      <c r="F372" s="47" t="s">
        <v>212</v>
      </c>
      <c r="G372" t="str" cm="1">
        <f t="array" ref="G372">_xlfn.IFS(C371&lt;=1000,"LOW",C371&lt;=2500,"MEDIUM",C371&gt;2500,"HIGH")</f>
        <v>MEDIUM</v>
      </c>
    </row>
    <row r="373" spans="1:7" x14ac:dyDescent="0.3">
      <c r="A373" s="44" t="s">
        <v>213</v>
      </c>
      <c r="B373" s="45" t="s">
        <v>277</v>
      </c>
      <c r="C373" s="45">
        <v>2087</v>
      </c>
      <c r="D373" s="45" t="s">
        <v>211</v>
      </c>
      <c r="E373" s="46">
        <v>42027</v>
      </c>
      <c r="F373" s="47" t="s">
        <v>212</v>
      </c>
      <c r="G373" t="str" cm="1">
        <f t="array" ref="G373">_xlfn.IFS(C372&lt;=1000,"LOW",C372&lt;=2500,"MEDIUM",C372&gt;2500,"HIGH")</f>
        <v>MEDIUM</v>
      </c>
    </row>
    <row r="374" spans="1:7" x14ac:dyDescent="0.3">
      <c r="A374" s="44" t="s">
        <v>236</v>
      </c>
      <c r="B374" s="45" t="s">
        <v>253</v>
      </c>
      <c r="C374" s="45">
        <v>2091</v>
      </c>
      <c r="D374" s="45" t="s">
        <v>215</v>
      </c>
      <c r="E374" s="46">
        <v>41886</v>
      </c>
      <c r="F374" s="47" t="s">
        <v>228</v>
      </c>
      <c r="G374" t="str" cm="1">
        <f t="array" ref="G374">_xlfn.IFS(C373&lt;=1000,"LOW",C373&lt;=2500,"MEDIUM",C373&gt;2500,"HIGH")</f>
        <v>MEDIUM</v>
      </c>
    </row>
    <row r="375" spans="1:7" x14ac:dyDescent="0.3">
      <c r="A375" s="44" t="s">
        <v>236</v>
      </c>
      <c r="B375" s="45" t="s">
        <v>253</v>
      </c>
      <c r="C375" s="45">
        <v>2093</v>
      </c>
      <c r="D375" s="45" t="s">
        <v>225</v>
      </c>
      <c r="E375" s="46">
        <v>41893</v>
      </c>
      <c r="F375" s="47" t="s">
        <v>228</v>
      </c>
      <c r="G375" t="str" cm="1">
        <f t="array" ref="G375">_xlfn.IFS(C374&lt;=1000,"LOW",C374&lt;=2500,"MEDIUM",C374&gt;2500,"HIGH")</f>
        <v>MEDIUM</v>
      </c>
    </row>
    <row r="376" spans="1:7" x14ac:dyDescent="0.3">
      <c r="A376" s="44" t="s">
        <v>231</v>
      </c>
      <c r="B376" s="45" t="s">
        <v>271</v>
      </c>
      <c r="C376" s="45">
        <v>2098</v>
      </c>
      <c r="D376" s="45" t="s">
        <v>225</v>
      </c>
      <c r="E376" s="46">
        <v>42040</v>
      </c>
      <c r="F376" s="47" t="s">
        <v>212</v>
      </c>
      <c r="G376" t="str" cm="1">
        <f t="array" ref="G376">_xlfn.IFS(C375&lt;=1000,"LOW",C375&lt;=2500,"MEDIUM",C375&gt;2500,"HIGH")</f>
        <v>MEDIUM</v>
      </c>
    </row>
    <row r="377" spans="1:7" x14ac:dyDescent="0.3">
      <c r="A377" s="44" t="s">
        <v>236</v>
      </c>
      <c r="B377" s="45" t="s">
        <v>253</v>
      </c>
      <c r="C377" s="45">
        <v>2102</v>
      </c>
      <c r="D377" s="45" t="s">
        <v>235</v>
      </c>
      <c r="E377" s="46">
        <v>41944</v>
      </c>
      <c r="F377" s="47" t="s">
        <v>221</v>
      </c>
      <c r="G377" t="str" cm="1">
        <f t="array" ref="G377">_xlfn.IFS(C376&lt;=1000,"LOW",C376&lt;=2500,"MEDIUM",C376&gt;2500,"HIGH")</f>
        <v>MEDIUM</v>
      </c>
    </row>
    <row r="378" spans="1:7" x14ac:dyDescent="0.3">
      <c r="A378" s="44" t="s">
        <v>223</v>
      </c>
      <c r="B378" s="45" t="s">
        <v>290</v>
      </c>
      <c r="C378" s="45">
        <v>2103</v>
      </c>
      <c r="D378" s="45" t="s">
        <v>215</v>
      </c>
      <c r="E378" s="46">
        <v>42050</v>
      </c>
      <c r="F378" s="47" t="s">
        <v>212</v>
      </c>
      <c r="G378" t="str" cm="1">
        <f t="array" ref="G378">_xlfn.IFS(C377&lt;=1000,"LOW",C377&lt;=2500,"MEDIUM",C377&gt;2500,"HIGH")</f>
        <v>MEDIUM</v>
      </c>
    </row>
    <row r="379" spans="1:7" x14ac:dyDescent="0.3">
      <c r="A379" s="44" t="s">
        <v>231</v>
      </c>
      <c r="B379" s="45" t="s">
        <v>275</v>
      </c>
      <c r="C379" s="45">
        <v>2103</v>
      </c>
      <c r="D379" s="45" t="s">
        <v>235</v>
      </c>
      <c r="E379" s="46">
        <v>41676</v>
      </c>
      <c r="F379" s="47" t="s">
        <v>212</v>
      </c>
      <c r="G379" t="str" cm="1">
        <f t="array" ref="G379">_xlfn.IFS(C378&lt;=1000,"LOW",C378&lt;=2500,"MEDIUM",C378&gt;2500,"HIGH")</f>
        <v>MEDIUM</v>
      </c>
    </row>
    <row r="380" spans="1:7" x14ac:dyDescent="0.3">
      <c r="A380" s="44" t="s">
        <v>223</v>
      </c>
      <c r="B380" s="45" t="s">
        <v>273</v>
      </c>
      <c r="C380" s="45">
        <v>2105</v>
      </c>
      <c r="D380" s="45" t="s">
        <v>218</v>
      </c>
      <c r="E380" s="46">
        <v>41938</v>
      </c>
      <c r="F380" s="47" t="s">
        <v>221</v>
      </c>
      <c r="G380" t="str" cm="1">
        <f t="array" ref="G380">_xlfn.IFS(C379&lt;=1000,"LOW",C379&lt;=2500,"MEDIUM",C379&gt;2500,"HIGH")</f>
        <v>MEDIUM</v>
      </c>
    </row>
    <row r="381" spans="1:7" x14ac:dyDescent="0.3">
      <c r="A381" s="44" t="s">
        <v>213</v>
      </c>
      <c r="B381" s="45" t="s">
        <v>299</v>
      </c>
      <c r="C381" s="45">
        <v>2107</v>
      </c>
      <c r="D381" s="45" t="s">
        <v>230</v>
      </c>
      <c r="E381" s="46">
        <v>41745</v>
      </c>
      <c r="F381" s="47" t="s">
        <v>216</v>
      </c>
      <c r="G381" t="str" cm="1">
        <f t="array" ref="G381">_xlfn.IFS(C380&lt;=1000,"LOW",C380&lt;=2500,"MEDIUM",C380&gt;2500,"HIGH")</f>
        <v>MEDIUM</v>
      </c>
    </row>
    <row r="382" spans="1:7" x14ac:dyDescent="0.3">
      <c r="A382" s="44" t="s">
        <v>233</v>
      </c>
      <c r="B382" s="45" t="s">
        <v>255</v>
      </c>
      <c r="C382" s="45">
        <v>2110</v>
      </c>
      <c r="D382" s="45" t="s">
        <v>211</v>
      </c>
      <c r="E382" s="46">
        <v>42159</v>
      </c>
      <c r="F382" s="47" t="s">
        <v>216</v>
      </c>
      <c r="G382" t="str" cm="1">
        <f t="array" ref="G382">_xlfn.IFS(C381&lt;=1000,"LOW",C381&lt;=2500,"MEDIUM",C381&gt;2500,"HIGH")</f>
        <v>MEDIUM</v>
      </c>
    </row>
    <row r="383" spans="1:7" x14ac:dyDescent="0.3">
      <c r="A383" s="44" t="s">
        <v>231</v>
      </c>
      <c r="B383" s="45" t="s">
        <v>309</v>
      </c>
      <c r="C383" s="45">
        <v>2111</v>
      </c>
      <c r="D383" s="45" t="s">
        <v>235</v>
      </c>
      <c r="E383" s="46">
        <v>42001</v>
      </c>
      <c r="F383" s="47" t="s">
        <v>221</v>
      </c>
      <c r="G383" t="str" cm="1">
        <f t="array" ref="G383">_xlfn.IFS(C382&lt;=1000,"LOW",C382&lt;=2500,"MEDIUM",C382&gt;2500,"HIGH")</f>
        <v>MEDIUM</v>
      </c>
    </row>
    <row r="384" spans="1:7" x14ac:dyDescent="0.3">
      <c r="A384" s="44" t="s">
        <v>223</v>
      </c>
      <c r="B384" s="45" t="s">
        <v>282</v>
      </c>
      <c r="C384" s="45">
        <v>2120</v>
      </c>
      <c r="D384" s="45" t="s">
        <v>215</v>
      </c>
      <c r="E384" s="46">
        <v>41695</v>
      </c>
      <c r="F384" s="47" t="s">
        <v>212</v>
      </c>
      <c r="G384" t="str" cm="1">
        <f t="array" ref="G384">_xlfn.IFS(C383&lt;=1000,"LOW",C383&lt;=2500,"MEDIUM",C383&gt;2500,"HIGH")</f>
        <v>MEDIUM</v>
      </c>
    </row>
    <row r="385" spans="1:7" x14ac:dyDescent="0.3">
      <c r="A385" s="44" t="s">
        <v>246</v>
      </c>
      <c r="B385" s="45" t="s">
        <v>303</v>
      </c>
      <c r="C385" s="45">
        <v>2120</v>
      </c>
      <c r="D385" s="45" t="s">
        <v>230</v>
      </c>
      <c r="E385" s="46">
        <v>41961</v>
      </c>
      <c r="F385" s="47" t="s">
        <v>221</v>
      </c>
      <c r="G385" t="str" cm="1">
        <f t="array" ref="G385">_xlfn.IFS(C384&lt;=1000,"LOW",C384&lt;=2500,"MEDIUM",C384&gt;2500,"HIGH")</f>
        <v>MEDIUM</v>
      </c>
    </row>
    <row r="386" spans="1:7" x14ac:dyDescent="0.3">
      <c r="A386" s="44" t="s">
        <v>233</v>
      </c>
      <c r="B386" s="45" t="s">
        <v>250</v>
      </c>
      <c r="C386" s="45">
        <v>2124</v>
      </c>
      <c r="D386" s="45" t="s">
        <v>254</v>
      </c>
      <c r="E386" s="46">
        <v>42195</v>
      </c>
      <c r="F386" s="47" t="s">
        <v>228</v>
      </c>
      <c r="G386" t="str" cm="1">
        <f t="array" ref="G386">_xlfn.IFS(C385&lt;=1000,"LOW",C385&lt;=2500,"MEDIUM",C385&gt;2500,"HIGH")</f>
        <v>MEDIUM</v>
      </c>
    </row>
    <row r="387" spans="1:7" x14ac:dyDescent="0.3">
      <c r="A387" s="44" t="s">
        <v>223</v>
      </c>
      <c r="B387" s="45" t="s">
        <v>276</v>
      </c>
      <c r="C387" s="45">
        <v>2130</v>
      </c>
      <c r="D387" s="45" t="s">
        <v>225</v>
      </c>
      <c r="E387" s="46">
        <v>42298</v>
      </c>
      <c r="F387" s="47" t="s">
        <v>221</v>
      </c>
      <c r="G387" t="str" cm="1">
        <f t="array" ref="G387">_xlfn.IFS(C386&lt;=1000,"LOW",C386&lt;=2500,"MEDIUM",C386&gt;2500,"HIGH")</f>
        <v>MEDIUM</v>
      </c>
    </row>
    <row r="388" spans="1:7" x14ac:dyDescent="0.3">
      <c r="A388" s="44" t="s">
        <v>246</v>
      </c>
      <c r="B388" s="45" t="s">
        <v>247</v>
      </c>
      <c r="C388" s="45">
        <v>2134</v>
      </c>
      <c r="D388" s="45" t="s">
        <v>215</v>
      </c>
      <c r="E388" s="46">
        <v>42065</v>
      </c>
      <c r="F388" s="47" t="s">
        <v>212</v>
      </c>
      <c r="G388" t="str" cm="1">
        <f t="array" ref="G388">_xlfn.IFS(C387&lt;=1000,"LOW",C387&lt;=2500,"MEDIUM",C387&gt;2500,"HIGH")</f>
        <v>MEDIUM</v>
      </c>
    </row>
    <row r="389" spans="1:7" x14ac:dyDescent="0.3">
      <c r="A389" s="44" t="s">
        <v>209</v>
      </c>
      <c r="B389" s="45" t="s">
        <v>219</v>
      </c>
      <c r="C389" s="45">
        <v>2135</v>
      </c>
      <c r="D389" s="45" t="s">
        <v>218</v>
      </c>
      <c r="E389" s="46">
        <v>41841</v>
      </c>
      <c r="F389" s="47" t="s">
        <v>228</v>
      </c>
      <c r="G389" t="str" cm="1">
        <f t="array" ref="G389">_xlfn.IFS(C388&lt;=1000,"LOW",C388&lt;=2500,"MEDIUM",C388&gt;2500,"HIGH")</f>
        <v>MEDIUM</v>
      </c>
    </row>
    <row r="390" spans="1:7" x14ac:dyDescent="0.3">
      <c r="A390" s="44" t="s">
        <v>213</v>
      </c>
      <c r="B390" s="45" t="s">
        <v>299</v>
      </c>
      <c r="C390" s="45">
        <v>2138</v>
      </c>
      <c r="D390" s="45" t="s">
        <v>215</v>
      </c>
      <c r="E390" s="46">
        <v>42128</v>
      </c>
      <c r="F390" s="47" t="s">
        <v>216</v>
      </c>
      <c r="G390" t="str" cm="1">
        <f t="array" ref="G390">_xlfn.IFS(C389&lt;=1000,"LOW",C389&lt;=2500,"MEDIUM",C389&gt;2500,"HIGH")</f>
        <v>MEDIUM</v>
      </c>
    </row>
    <row r="391" spans="1:7" x14ac:dyDescent="0.3">
      <c r="A391" s="44" t="s">
        <v>223</v>
      </c>
      <c r="B391" s="45" t="s">
        <v>295</v>
      </c>
      <c r="C391" s="45">
        <v>2151</v>
      </c>
      <c r="D391" s="45" t="s">
        <v>230</v>
      </c>
      <c r="E391" s="46">
        <v>42100</v>
      </c>
      <c r="F391" s="47" t="s">
        <v>216</v>
      </c>
      <c r="G391" t="str" cm="1">
        <f t="array" ref="G391">_xlfn.IFS(C390&lt;=1000,"LOW",C390&lt;=2500,"MEDIUM",C390&gt;2500,"HIGH")</f>
        <v>MEDIUM</v>
      </c>
    </row>
    <row r="392" spans="1:7" x14ac:dyDescent="0.3">
      <c r="A392" s="44" t="s">
        <v>213</v>
      </c>
      <c r="B392" s="45" t="s">
        <v>299</v>
      </c>
      <c r="C392" s="45">
        <v>2152</v>
      </c>
      <c r="D392" s="45" t="s">
        <v>230</v>
      </c>
      <c r="E392" s="46">
        <v>42098</v>
      </c>
      <c r="F392" s="47" t="s">
        <v>216</v>
      </c>
      <c r="G392" t="str" cm="1">
        <f t="array" ref="G392">_xlfn.IFS(C391&lt;=1000,"LOW",C391&lt;=2500,"MEDIUM",C391&gt;2500,"HIGH")</f>
        <v>MEDIUM</v>
      </c>
    </row>
    <row r="393" spans="1:7" x14ac:dyDescent="0.3">
      <c r="A393" s="44" t="s">
        <v>233</v>
      </c>
      <c r="B393" s="45" t="s">
        <v>265</v>
      </c>
      <c r="C393" s="45">
        <v>2153</v>
      </c>
      <c r="D393" s="45" t="s">
        <v>220</v>
      </c>
      <c r="E393" s="46">
        <v>42233</v>
      </c>
      <c r="F393" s="47" t="s">
        <v>228</v>
      </c>
      <c r="G393" t="str" cm="1">
        <f t="array" ref="G393">_xlfn.IFS(C392&lt;=1000,"LOW",C392&lt;=2500,"MEDIUM",C392&gt;2500,"HIGH")</f>
        <v>MEDIUM</v>
      </c>
    </row>
    <row r="394" spans="1:7" x14ac:dyDescent="0.3">
      <c r="A394" s="44" t="s">
        <v>223</v>
      </c>
      <c r="B394" s="45" t="s">
        <v>273</v>
      </c>
      <c r="C394" s="45">
        <v>2157</v>
      </c>
      <c r="D394" s="45" t="s">
        <v>230</v>
      </c>
      <c r="E394" s="46">
        <v>42001</v>
      </c>
      <c r="F394" s="47" t="s">
        <v>221</v>
      </c>
      <c r="G394" t="str" cm="1">
        <f t="array" ref="G394">_xlfn.IFS(C393&lt;=1000,"LOW",C393&lt;=2500,"MEDIUM",C393&gt;2500,"HIGH")</f>
        <v>MEDIUM</v>
      </c>
    </row>
    <row r="395" spans="1:7" x14ac:dyDescent="0.3">
      <c r="A395" s="44" t="s">
        <v>209</v>
      </c>
      <c r="B395" s="45" t="s">
        <v>219</v>
      </c>
      <c r="C395" s="45">
        <v>2158</v>
      </c>
      <c r="D395" s="45" t="s">
        <v>215</v>
      </c>
      <c r="E395" s="46">
        <v>41885</v>
      </c>
      <c r="F395" s="47" t="s">
        <v>228</v>
      </c>
      <c r="G395" t="str" cm="1">
        <f t="array" ref="G395">_xlfn.IFS(C394&lt;=1000,"LOW",C394&lt;=2500,"MEDIUM",C394&gt;2500,"HIGH")</f>
        <v>MEDIUM</v>
      </c>
    </row>
    <row r="396" spans="1:7" x14ac:dyDescent="0.3">
      <c r="A396" s="44" t="s">
        <v>246</v>
      </c>
      <c r="B396" s="45" t="s">
        <v>247</v>
      </c>
      <c r="C396" s="45">
        <v>2177</v>
      </c>
      <c r="D396" s="45" t="s">
        <v>235</v>
      </c>
      <c r="E396" s="46">
        <v>42291</v>
      </c>
      <c r="F396" s="47" t="s">
        <v>221</v>
      </c>
      <c r="G396" t="str" cm="1">
        <f t="array" ref="G396">_xlfn.IFS(C395&lt;=1000,"LOW",C395&lt;=2500,"MEDIUM",C395&gt;2500,"HIGH")</f>
        <v>MEDIUM</v>
      </c>
    </row>
    <row r="397" spans="1:7" x14ac:dyDescent="0.3">
      <c r="A397" s="44" t="s">
        <v>213</v>
      </c>
      <c r="B397" s="45" t="s">
        <v>256</v>
      </c>
      <c r="C397" s="45">
        <v>2178</v>
      </c>
      <c r="D397" s="45" t="s">
        <v>230</v>
      </c>
      <c r="E397" s="46">
        <v>42165</v>
      </c>
      <c r="F397" s="47" t="s">
        <v>216</v>
      </c>
      <c r="G397" t="str" cm="1">
        <f t="array" ref="G397">_xlfn.IFS(C396&lt;=1000,"LOW",C396&lt;=2500,"MEDIUM",C396&gt;2500,"HIGH")</f>
        <v>MEDIUM</v>
      </c>
    </row>
    <row r="398" spans="1:7" x14ac:dyDescent="0.3">
      <c r="A398" s="44" t="s">
        <v>246</v>
      </c>
      <c r="B398" s="45" t="s">
        <v>287</v>
      </c>
      <c r="C398" s="45">
        <v>2178</v>
      </c>
      <c r="D398" s="45" t="s">
        <v>215</v>
      </c>
      <c r="E398" s="46">
        <v>41985</v>
      </c>
      <c r="F398" s="47" t="s">
        <v>221</v>
      </c>
      <c r="G398" t="str" cm="1">
        <f t="array" ref="G398">_xlfn.IFS(C397&lt;=1000,"LOW",C397&lt;=2500,"MEDIUM",C397&gt;2500,"HIGH")</f>
        <v>MEDIUM</v>
      </c>
    </row>
    <row r="399" spans="1:7" x14ac:dyDescent="0.3">
      <c r="A399" s="44" t="s">
        <v>236</v>
      </c>
      <c r="B399" s="45" t="s">
        <v>294</v>
      </c>
      <c r="C399" s="45">
        <v>2179</v>
      </c>
      <c r="D399" s="45" t="s">
        <v>230</v>
      </c>
      <c r="E399" s="46">
        <v>41990</v>
      </c>
      <c r="F399" s="47" t="s">
        <v>221</v>
      </c>
      <c r="G399" t="str" cm="1">
        <f t="array" ref="G399">_xlfn.IFS(C398&lt;=1000,"LOW",C398&lt;=2500,"MEDIUM",C398&gt;2500,"HIGH")</f>
        <v>MEDIUM</v>
      </c>
    </row>
    <row r="400" spans="1:7" x14ac:dyDescent="0.3">
      <c r="A400" s="44" t="s">
        <v>223</v>
      </c>
      <c r="B400" s="45" t="s">
        <v>280</v>
      </c>
      <c r="C400" s="45">
        <v>2180</v>
      </c>
      <c r="D400" s="45" t="s">
        <v>254</v>
      </c>
      <c r="E400" s="46">
        <v>42222</v>
      </c>
      <c r="F400" s="47" t="s">
        <v>228</v>
      </c>
      <c r="G400" t="str" cm="1">
        <f t="array" ref="G400">_xlfn.IFS(C399&lt;=1000,"LOW",C399&lt;=2500,"MEDIUM",C399&gt;2500,"HIGH")</f>
        <v>MEDIUM</v>
      </c>
    </row>
    <row r="401" spans="1:7" x14ac:dyDescent="0.3">
      <c r="A401" s="44" t="s">
        <v>236</v>
      </c>
      <c r="B401" s="45" t="s">
        <v>298</v>
      </c>
      <c r="C401" s="45">
        <v>2194</v>
      </c>
      <c r="D401" s="45" t="s">
        <v>222</v>
      </c>
      <c r="E401" s="46">
        <v>41692</v>
      </c>
      <c r="F401" s="47" t="s">
        <v>212</v>
      </c>
      <c r="G401" t="str" cm="1">
        <f t="array" ref="G401">_xlfn.IFS(C400&lt;=1000,"LOW",C400&lt;=2500,"MEDIUM",C400&gt;2500,"HIGH")</f>
        <v>MEDIUM</v>
      </c>
    </row>
    <row r="402" spans="1:7" x14ac:dyDescent="0.3">
      <c r="A402" s="44" t="s">
        <v>213</v>
      </c>
      <c r="B402" s="45" t="s">
        <v>278</v>
      </c>
      <c r="C402" s="45">
        <v>2196</v>
      </c>
      <c r="D402" s="45" t="s">
        <v>245</v>
      </c>
      <c r="E402" s="46">
        <v>41817</v>
      </c>
      <c r="F402" s="47" t="s">
        <v>216</v>
      </c>
      <c r="G402" t="str" cm="1">
        <f t="array" ref="G402">_xlfn.IFS(C401&lt;=1000,"LOW",C401&lt;=2500,"MEDIUM",C401&gt;2500,"HIGH")</f>
        <v>MEDIUM</v>
      </c>
    </row>
    <row r="403" spans="1:7" x14ac:dyDescent="0.3">
      <c r="A403" s="44" t="s">
        <v>209</v>
      </c>
      <c r="B403" s="45" t="s">
        <v>261</v>
      </c>
      <c r="C403" s="45">
        <v>2200</v>
      </c>
      <c r="D403" s="45" t="s">
        <v>222</v>
      </c>
      <c r="E403" s="46">
        <v>42020</v>
      </c>
      <c r="F403" s="47" t="s">
        <v>212</v>
      </c>
      <c r="G403" t="str" cm="1">
        <f t="array" ref="G403">_xlfn.IFS(C402&lt;=1000,"LOW",C402&lt;=2500,"MEDIUM",C402&gt;2500,"HIGH")</f>
        <v>MEDIUM</v>
      </c>
    </row>
    <row r="404" spans="1:7" x14ac:dyDescent="0.3">
      <c r="A404" s="44" t="s">
        <v>236</v>
      </c>
      <c r="B404" s="45" t="s">
        <v>286</v>
      </c>
      <c r="C404" s="45">
        <v>2203</v>
      </c>
      <c r="D404" s="45" t="s">
        <v>245</v>
      </c>
      <c r="E404" s="46">
        <v>42032</v>
      </c>
      <c r="F404" s="47" t="s">
        <v>212</v>
      </c>
      <c r="G404" t="str" cm="1">
        <f t="array" ref="G404">_xlfn.IFS(C403&lt;=1000,"LOW",C403&lt;=2500,"MEDIUM",C403&gt;2500,"HIGH")</f>
        <v>MEDIUM</v>
      </c>
    </row>
    <row r="405" spans="1:7" x14ac:dyDescent="0.3">
      <c r="A405" s="44" t="s">
        <v>213</v>
      </c>
      <c r="B405" s="45" t="s">
        <v>288</v>
      </c>
      <c r="C405" s="45">
        <v>2207</v>
      </c>
      <c r="D405" s="45" t="s">
        <v>218</v>
      </c>
      <c r="E405" s="46">
        <v>41717</v>
      </c>
      <c r="F405" s="47" t="s">
        <v>212</v>
      </c>
      <c r="G405" t="str" cm="1">
        <f t="array" ref="G405">_xlfn.IFS(C404&lt;=1000,"LOW",C404&lt;=2500,"MEDIUM",C404&gt;2500,"HIGH")</f>
        <v>MEDIUM</v>
      </c>
    </row>
    <row r="406" spans="1:7" x14ac:dyDescent="0.3">
      <c r="A406" s="44" t="s">
        <v>236</v>
      </c>
      <c r="B406" s="45" t="s">
        <v>253</v>
      </c>
      <c r="C406" s="45">
        <v>2211</v>
      </c>
      <c r="D406" s="45" t="s">
        <v>222</v>
      </c>
      <c r="E406" s="46">
        <v>41902</v>
      </c>
      <c r="F406" s="47" t="s">
        <v>228</v>
      </c>
      <c r="G406" t="str" cm="1">
        <f t="array" ref="G406">_xlfn.IFS(C405&lt;=1000,"LOW",C405&lt;=2500,"MEDIUM",C405&gt;2500,"HIGH")</f>
        <v>MEDIUM</v>
      </c>
    </row>
    <row r="407" spans="1:7" x14ac:dyDescent="0.3">
      <c r="A407" s="44" t="s">
        <v>223</v>
      </c>
      <c r="B407" s="45" t="s">
        <v>227</v>
      </c>
      <c r="C407" s="45">
        <v>2213</v>
      </c>
      <c r="D407" s="45" t="s">
        <v>215</v>
      </c>
      <c r="E407" s="46">
        <v>42179</v>
      </c>
      <c r="F407" s="47" t="s">
        <v>216</v>
      </c>
      <c r="G407" t="str" cm="1">
        <f t="array" ref="G407">_xlfn.IFS(C406&lt;=1000,"LOW",C406&lt;=2500,"MEDIUM",C406&gt;2500,"HIGH")</f>
        <v>MEDIUM</v>
      </c>
    </row>
    <row r="408" spans="1:7" x14ac:dyDescent="0.3">
      <c r="A408" s="44" t="s">
        <v>236</v>
      </c>
      <c r="B408" s="45" t="s">
        <v>308</v>
      </c>
      <c r="C408" s="45">
        <v>2214</v>
      </c>
      <c r="D408" s="45" t="s">
        <v>211</v>
      </c>
      <c r="E408" s="46">
        <v>42183</v>
      </c>
      <c r="F408" s="47" t="s">
        <v>216</v>
      </c>
      <c r="G408" t="str" cm="1">
        <f t="array" ref="G408">_xlfn.IFS(C407&lt;=1000,"LOW",C407&lt;=2500,"MEDIUM",C407&gt;2500,"HIGH")</f>
        <v>MEDIUM</v>
      </c>
    </row>
    <row r="409" spans="1:7" x14ac:dyDescent="0.3">
      <c r="A409" s="44" t="s">
        <v>213</v>
      </c>
      <c r="B409" s="45" t="s">
        <v>266</v>
      </c>
      <c r="C409" s="45">
        <v>2220</v>
      </c>
      <c r="D409" s="45" t="s">
        <v>235</v>
      </c>
      <c r="E409" s="46">
        <v>41724</v>
      </c>
      <c r="F409" s="47" t="s">
        <v>212</v>
      </c>
      <c r="G409" t="str" cm="1">
        <f t="array" ref="G409">_xlfn.IFS(C408&lt;=1000,"LOW",C408&lt;=2500,"MEDIUM",C408&gt;2500,"HIGH")</f>
        <v>MEDIUM</v>
      </c>
    </row>
    <row r="410" spans="1:7" x14ac:dyDescent="0.3">
      <c r="A410" s="44" t="s">
        <v>231</v>
      </c>
      <c r="B410" s="45" t="s">
        <v>306</v>
      </c>
      <c r="C410" s="45">
        <v>2221</v>
      </c>
      <c r="D410" s="45" t="s">
        <v>225</v>
      </c>
      <c r="E410" s="46">
        <v>41697</v>
      </c>
      <c r="F410" s="47" t="s">
        <v>212</v>
      </c>
      <c r="G410" t="str" cm="1">
        <f t="array" ref="G410">_xlfn.IFS(C409&lt;=1000,"LOW",C409&lt;=2500,"MEDIUM",C409&gt;2500,"HIGH")</f>
        <v>MEDIUM</v>
      </c>
    </row>
    <row r="411" spans="1:7" x14ac:dyDescent="0.3">
      <c r="A411" s="44" t="s">
        <v>209</v>
      </c>
      <c r="B411" s="45" t="s">
        <v>264</v>
      </c>
      <c r="C411" s="45">
        <v>2226</v>
      </c>
      <c r="D411" s="45" t="s">
        <v>215</v>
      </c>
      <c r="E411" s="46">
        <v>42330</v>
      </c>
      <c r="F411" s="47" t="s">
        <v>221</v>
      </c>
      <c r="G411" t="str" cm="1">
        <f t="array" ref="G411">_xlfn.IFS(C410&lt;=1000,"LOW",C410&lt;=2500,"MEDIUM",C410&gt;2500,"HIGH")</f>
        <v>MEDIUM</v>
      </c>
    </row>
    <row r="412" spans="1:7" x14ac:dyDescent="0.3">
      <c r="A412" s="44" t="s">
        <v>223</v>
      </c>
      <c r="B412" s="45" t="s">
        <v>259</v>
      </c>
      <c r="C412" s="45">
        <v>2227</v>
      </c>
      <c r="D412" s="45" t="s">
        <v>225</v>
      </c>
      <c r="E412" s="46">
        <v>42352</v>
      </c>
      <c r="F412" s="47" t="s">
        <v>221</v>
      </c>
      <c r="G412" t="str" cm="1">
        <f t="array" ref="G412">_xlfn.IFS(C411&lt;=1000,"LOW",C411&lt;=2500,"MEDIUM",C411&gt;2500,"HIGH")</f>
        <v>MEDIUM</v>
      </c>
    </row>
    <row r="413" spans="1:7" x14ac:dyDescent="0.3">
      <c r="A413" s="44" t="s">
        <v>233</v>
      </c>
      <c r="B413" s="45" t="s">
        <v>251</v>
      </c>
      <c r="C413" s="45">
        <v>2230</v>
      </c>
      <c r="D413" s="45" t="s">
        <v>215</v>
      </c>
      <c r="E413" s="46">
        <v>42040</v>
      </c>
      <c r="F413" s="47" t="s">
        <v>212</v>
      </c>
      <c r="G413" t="str" cm="1">
        <f t="array" ref="G413">_xlfn.IFS(C412&lt;=1000,"LOW",C412&lt;=2500,"MEDIUM",C412&gt;2500,"HIGH")</f>
        <v>MEDIUM</v>
      </c>
    </row>
    <row r="414" spans="1:7" x14ac:dyDescent="0.3">
      <c r="A414" s="44" t="s">
        <v>236</v>
      </c>
      <c r="B414" s="45" t="s">
        <v>308</v>
      </c>
      <c r="C414" s="45">
        <v>2230</v>
      </c>
      <c r="D414" s="45" t="s">
        <v>218</v>
      </c>
      <c r="E414" s="46">
        <v>42114</v>
      </c>
      <c r="F414" s="47" t="s">
        <v>216</v>
      </c>
      <c r="G414" t="str" cm="1">
        <f t="array" ref="G414">_xlfn.IFS(C413&lt;=1000,"LOW",C413&lt;=2500,"MEDIUM",C413&gt;2500,"HIGH")</f>
        <v>MEDIUM</v>
      </c>
    </row>
    <row r="415" spans="1:7" x14ac:dyDescent="0.3">
      <c r="A415" s="44" t="s">
        <v>213</v>
      </c>
      <c r="B415" s="45" t="s">
        <v>299</v>
      </c>
      <c r="C415" s="45">
        <v>2234</v>
      </c>
      <c r="D415" s="45" t="s">
        <v>245</v>
      </c>
      <c r="E415" s="46">
        <v>41809</v>
      </c>
      <c r="F415" s="47" t="s">
        <v>216</v>
      </c>
      <c r="G415" t="str" cm="1">
        <f t="array" ref="G415">_xlfn.IFS(C414&lt;=1000,"LOW",C414&lt;=2500,"MEDIUM",C414&gt;2500,"HIGH")</f>
        <v>MEDIUM</v>
      </c>
    </row>
    <row r="416" spans="1:7" x14ac:dyDescent="0.3">
      <c r="A416" s="44" t="s">
        <v>223</v>
      </c>
      <c r="B416" s="45" t="s">
        <v>224</v>
      </c>
      <c r="C416" s="45">
        <v>2235</v>
      </c>
      <c r="D416" s="45" t="s">
        <v>254</v>
      </c>
      <c r="E416" s="46">
        <v>42119</v>
      </c>
      <c r="F416" s="47" t="s">
        <v>216</v>
      </c>
      <c r="G416" t="str" cm="1">
        <f t="array" ref="G416">_xlfn.IFS(C415&lt;=1000,"LOW",C415&lt;=2500,"MEDIUM",C415&gt;2500,"HIGH")</f>
        <v>MEDIUM</v>
      </c>
    </row>
    <row r="417" spans="1:7" x14ac:dyDescent="0.3">
      <c r="A417" s="44" t="s">
        <v>213</v>
      </c>
      <c r="B417" s="45" t="s">
        <v>229</v>
      </c>
      <c r="C417" s="45">
        <v>2236</v>
      </c>
      <c r="D417" s="45" t="s">
        <v>222</v>
      </c>
      <c r="E417" s="46">
        <v>42063</v>
      </c>
      <c r="F417" s="47" t="s">
        <v>212</v>
      </c>
      <c r="G417" t="str" cm="1">
        <f t="array" ref="G417">_xlfn.IFS(C416&lt;=1000,"LOW",C416&lt;=2500,"MEDIUM",C416&gt;2500,"HIGH")</f>
        <v>MEDIUM</v>
      </c>
    </row>
    <row r="418" spans="1:7" x14ac:dyDescent="0.3">
      <c r="A418" s="44" t="s">
        <v>231</v>
      </c>
      <c r="B418" s="45" t="s">
        <v>271</v>
      </c>
      <c r="C418" s="45">
        <v>2236</v>
      </c>
      <c r="D418" s="45" t="s">
        <v>222</v>
      </c>
      <c r="E418" s="46">
        <v>42083</v>
      </c>
      <c r="F418" s="47" t="s">
        <v>212</v>
      </c>
      <c r="G418" t="str" cm="1">
        <f t="array" ref="G418">_xlfn.IFS(C417&lt;=1000,"LOW",C417&lt;=2500,"MEDIUM",C417&gt;2500,"HIGH")</f>
        <v>MEDIUM</v>
      </c>
    </row>
    <row r="419" spans="1:7" x14ac:dyDescent="0.3">
      <c r="A419" s="44" t="s">
        <v>236</v>
      </c>
      <c r="B419" s="45" t="s">
        <v>253</v>
      </c>
      <c r="C419" s="45">
        <v>2236</v>
      </c>
      <c r="D419" s="45" t="s">
        <v>222</v>
      </c>
      <c r="E419" s="46">
        <v>42146</v>
      </c>
      <c r="F419" s="47" t="s">
        <v>216</v>
      </c>
      <c r="G419" t="str" cm="1">
        <f t="array" ref="G419">_xlfn.IFS(C418&lt;=1000,"LOW",C418&lt;=2500,"MEDIUM",C418&gt;2500,"HIGH")</f>
        <v>MEDIUM</v>
      </c>
    </row>
    <row r="420" spans="1:7" x14ac:dyDescent="0.3">
      <c r="A420" s="44" t="s">
        <v>213</v>
      </c>
      <c r="B420" s="45" t="s">
        <v>256</v>
      </c>
      <c r="C420" s="45">
        <v>2239</v>
      </c>
      <c r="D420" s="45" t="s">
        <v>211</v>
      </c>
      <c r="E420" s="46">
        <v>42051</v>
      </c>
      <c r="F420" s="47" t="s">
        <v>212</v>
      </c>
      <c r="G420" t="str" cm="1">
        <f t="array" ref="G420">_xlfn.IFS(C419&lt;=1000,"LOW",C419&lt;=2500,"MEDIUM",C419&gt;2500,"HIGH")</f>
        <v>MEDIUM</v>
      </c>
    </row>
    <row r="421" spans="1:7" x14ac:dyDescent="0.3">
      <c r="A421" s="44" t="s">
        <v>233</v>
      </c>
      <c r="B421" s="45" t="s">
        <v>283</v>
      </c>
      <c r="C421" s="45">
        <v>2240</v>
      </c>
      <c r="D421" s="45" t="s">
        <v>218</v>
      </c>
      <c r="E421" s="46">
        <v>41734</v>
      </c>
      <c r="F421" s="47" t="s">
        <v>216</v>
      </c>
      <c r="G421" t="str" cm="1">
        <f t="array" ref="G421">_xlfn.IFS(C420&lt;=1000,"LOW",C420&lt;=2500,"MEDIUM",C420&gt;2500,"HIGH")</f>
        <v>MEDIUM</v>
      </c>
    </row>
    <row r="422" spans="1:7" x14ac:dyDescent="0.3">
      <c r="A422" s="44" t="s">
        <v>233</v>
      </c>
      <c r="B422" s="45" t="s">
        <v>281</v>
      </c>
      <c r="C422" s="45">
        <v>2245</v>
      </c>
      <c r="D422" s="45" t="s">
        <v>245</v>
      </c>
      <c r="E422" s="46">
        <v>42165</v>
      </c>
      <c r="F422" s="47" t="s">
        <v>216</v>
      </c>
      <c r="G422" t="str" cm="1">
        <f t="array" ref="G422">_xlfn.IFS(C421&lt;=1000,"LOW",C421&lt;=2500,"MEDIUM",C421&gt;2500,"HIGH")</f>
        <v>MEDIUM</v>
      </c>
    </row>
    <row r="423" spans="1:7" x14ac:dyDescent="0.3">
      <c r="A423" s="44" t="s">
        <v>233</v>
      </c>
      <c r="B423" s="45" t="s">
        <v>255</v>
      </c>
      <c r="C423" s="45">
        <v>2246</v>
      </c>
      <c r="D423" s="45" t="s">
        <v>230</v>
      </c>
      <c r="E423" s="46">
        <v>41685</v>
      </c>
      <c r="F423" s="47" t="s">
        <v>212</v>
      </c>
      <c r="G423" t="str" cm="1">
        <f t="array" ref="G423">_xlfn.IFS(C422&lt;=1000,"LOW",C422&lt;=2500,"MEDIUM",C422&gt;2500,"HIGH")</f>
        <v>MEDIUM</v>
      </c>
    </row>
    <row r="424" spans="1:7" x14ac:dyDescent="0.3">
      <c r="A424" s="44" t="s">
        <v>231</v>
      </c>
      <c r="B424" s="45" t="s">
        <v>306</v>
      </c>
      <c r="C424" s="45">
        <v>2246</v>
      </c>
      <c r="D424" s="45" t="s">
        <v>254</v>
      </c>
      <c r="E424" s="46">
        <v>41809</v>
      </c>
      <c r="F424" s="47" t="s">
        <v>216</v>
      </c>
      <c r="G424" t="str" cm="1">
        <f t="array" ref="G424">_xlfn.IFS(C423&lt;=1000,"LOW",C423&lt;=2500,"MEDIUM",C423&gt;2500,"HIGH")</f>
        <v>MEDIUM</v>
      </c>
    </row>
    <row r="425" spans="1:7" x14ac:dyDescent="0.3">
      <c r="A425" s="44" t="s">
        <v>213</v>
      </c>
      <c r="B425" s="45" t="s">
        <v>217</v>
      </c>
      <c r="C425" s="45">
        <v>2250</v>
      </c>
      <c r="D425" s="45" t="s">
        <v>225</v>
      </c>
      <c r="E425" s="46">
        <v>41723</v>
      </c>
      <c r="F425" s="47" t="s">
        <v>212</v>
      </c>
      <c r="G425" t="str" cm="1">
        <f t="array" ref="G425">_xlfn.IFS(C424&lt;=1000,"LOW",C424&lt;=2500,"MEDIUM",C424&gt;2500,"HIGH")</f>
        <v>MEDIUM</v>
      </c>
    </row>
    <row r="426" spans="1:7" x14ac:dyDescent="0.3">
      <c r="A426" s="44" t="s">
        <v>231</v>
      </c>
      <c r="B426" s="45" t="s">
        <v>275</v>
      </c>
      <c r="C426" s="45">
        <v>2251</v>
      </c>
      <c r="D426" s="45" t="s">
        <v>230</v>
      </c>
      <c r="E426" s="46">
        <v>41982</v>
      </c>
      <c r="F426" s="47" t="s">
        <v>221</v>
      </c>
      <c r="G426" t="str" cm="1">
        <f t="array" ref="G426">_xlfn.IFS(C425&lt;=1000,"LOW",C425&lt;=2500,"MEDIUM",C425&gt;2500,"HIGH")</f>
        <v>MEDIUM</v>
      </c>
    </row>
    <row r="427" spans="1:7" x14ac:dyDescent="0.3">
      <c r="A427" s="44" t="s">
        <v>213</v>
      </c>
      <c r="B427" s="45" t="s">
        <v>229</v>
      </c>
      <c r="C427" s="45">
        <v>2254</v>
      </c>
      <c r="D427" s="45" t="s">
        <v>220</v>
      </c>
      <c r="E427" s="46">
        <v>42165</v>
      </c>
      <c r="F427" s="47" t="s">
        <v>216</v>
      </c>
      <c r="G427" t="str" cm="1">
        <f t="array" ref="G427">_xlfn.IFS(C426&lt;=1000,"LOW",C426&lt;=2500,"MEDIUM",C426&gt;2500,"HIGH")</f>
        <v>MEDIUM</v>
      </c>
    </row>
    <row r="428" spans="1:7" x14ac:dyDescent="0.3">
      <c r="A428" s="44" t="s">
        <v>213</v>
      </c>
      <c r="B428" s="45" t="s">
        <v>278</v>
      </c>
      <c r="C428" s="45">
        <v>2260</v>
      </c>
      <c r="D428" s="45" t="s">
        <v>225</v>
      </c>
      <c r="E428" s="46">
        <v>41955</v>
      </c>
      <c r="F428" s="47" t="s">
        <v>221</v>
      </c>
      <c r="G428" t="str" cm="1">
        <f t="array" ref="G428">_xlfn.IFS(C427&lt;=1000,"LOW",C427&lt;=2500,"MEDIUM",C427&gt;2500,"HIGH")</f>
        <v>MEDIUM</v>
      </c>
    </row>
    <row r="429" spans="1:7" x14ac:dyDescent="0.3">
      <c r="A429" s="44" t="s">
        <v>233</v>
      </c>
      <c r="B429" s="45" t="s">
        <v>255</v>
      </c>
      <c r="C429" s="45">
        <v>2263</v>
      </c>
      <c r="D429" s="45" t="s">
        <v>245</v>
      </c>
      <c r="E429" s="46">
        <v>42066</v>
      </c>
      <c r="F429" s="47" t="s">
        <v>212</v>
      </c>
      <c r="G429" t="str" cm="1">
        <f t="array" ref="G429">_xlfn.IFS(C428&lt;=1000,"LOW",C428&lt;=2500,"MEDIUM",C428&gt;2500,"HIGH")</f>
        <v>MEDIUM</v>
      </c>
    </row>
    <row r="430" spans="1:7" x14ac:dyDescent="0.3">
      <c r="A430" s="44" t="s">
        <v>231</v>
      </c>
      <c r="B430" s="45" t="s">
        <v>289</v>
      </c>
      <c r="C430" s="45">
        <v>2266</v>
      </c>
      <c r="D430" s="45" t="s">
        <v>225</v>
      </c>
      <c r="E430" s="46">
        <v>41704</v>
      </c>
      <c r="F430" s="47" t="s">
        <v>212</v>
      </c>
      <c r="G430" t="str" cm="1">
        <f t="array" ref="G430">_xlfn.IFS(C429&lt;=1000,"LOW",C429&lt;=2500,"MEDIUM",C429&gt;2500,"HIGH")</f>
        <v>MEDIUM</v>
      </c>
    </row>
    <row r="431" spans="1:7" x14ac:dyDescent="0.3">
      <c r="A431" s="44" t="s">
        <v>209</v>
      </c>
      <c r="B431" s="45" t="s">
        <v>226</v>
      </c>
      <c r="C431" s="45">
        <v>2266</v>
      </c>
      <c r="D431" s="45" t="s">
        <v>254</v>
      </c>
      <c r="E431" s="46">
        <v>42151</v>
      </c>
      <c r="F431" s="47" t="s">
        <v>216</v>
      </c>
      <c r="G431" t="str" cm="1">
        <f t="array" ref="G431">_xlfn.IFS(C430&lt;=1000,"LOW",C430&lt;=2500,"MEDIUM",C430&gt;2500,"HIGH")</f>
        <v>MEDIUM</v>
      </c>
    </row>
    <row r="432" spans="1:7" x14ac:dyDescent="0.3">
      <c r="A432" s="44" t="s">
        <v>236</v>
      </c>
      <c r="B432" s="45" t="s">
        <v>294</v>
      </c>
      <c r="C432" s="45">
        <v>2266</v>
      </c>
      <c r="D432" s="45" t="s">
        <v>254</v>
      </c>
      <c r="E432" s="46">
        <v>42114</v>
      </c>
      <c r="F432" s="47" t="s">
        <v>216</v>
      </c>
      <c r="G432" t="str" cm="1">
        <f t="array" ref="G432">_xlfn.IFS(C431&lt;=1000,"LOW",C431&lt;=2500,"MEDIUM",C431&gt;2500,"HIGH")</f>
        <v>MEDIUM</v>
      </c>
    </row>
    <row r="433" spans="1:7" x14ac:dyDescent="0.3">
      <c r="A433" s="44" t="s">
        <v>233</v>
      </c>
      <c r="B433" s="45" t="s">
        <v>310</v>
      </c>
      <c r="C433" s="45">
        <v>2267</v>
      </c>
      <c r="D433" s="45" t="s">
        <v>218</v>
      </c>
      <c r="E433" s="46">
        <v>41840</v>
      </c>
      <c r="F433" s="47" t="s">
        <v>228</v>
      </c>
      <c r="G433" t="str" cm="1">
        <f t="array" ref="G433">_xlfn.IFS(C432&lt;=1000,"LOW",C432&lt;=2500,"MEDIUM",C432&gt;2500,"HIGH")</f>
        <v>MEDIUM</v>
      </c>
    </row>
    <row r="434" spans="1:7" x14ac:dyDescent="0.3">
      <c r="A434" s="44" t="s">
        <v>233</v>
      </c>
      <c r="B434" s="45" t="s">
        <v>260</v>
      </c>
      <c r="C434" s="45">
        <v>2275</v>
      </c>
      <c r="D434" s="45" t="s">
        <v>222</v>
      </c>
      <c r="E434" s="46">
        <v>41692</v>
      </c>
      <c r="F434" s="47" t="s">
        <v>212</v>
      </c>
      <c r="G434" t="str" cm="1">
        <f t="array" ref="G434">_xlfn.IFS(C433&lt;=1000,"LOW",C433&lt;=2500,"MEDIUM",C433&gt;2500,"HIGH")</f>
        <v>MEDIUM</v>
      </c>
    </row>
    <row r="435" spans="1:7" x14ac:dyDescent="0.3">
      <c r="A435" s="44" t="s">
        <v>233</v>
      </c>
      <c r="B435" s="45" t="s">
        <v>265</v>
      </c>
      <c r="C435" s="45">
        <v>2275</v>
      </c>
      <c r="D435" s="45" t="s">
        <v>215</v>
      </c>
      <c r="E435" s="46">
        <v>41673</v>
      </c>
      <c r="F435" s="47" t="s">
        <v>212</v>
      </c>
      <c r="G435" t="str" cm="1">
        <f t="array" ref="G435">_xlfn.IFS(C434&lt;=1000,"LOW",C434&lt;=2500,"MEDIUM",C434&gt;2500,"HIGH")</f>
        <v>MEDIUM</v>
      </c>
    </row>
    <row r="436" spans="1:7" x14ac:dyDescent="0.3">
      <c r="A436" s="44" t="s">
        <v>223</v>
      </c>
      <c r="B436" s="45" t="s">
        <v>249</v>
      </c>
      <c r="C436" s="45">
        <v>2283</v>
      </c>
      <c r="D436" s="45" t="s">
        <v>254</v>
      </c>
      <c r="E436" s="46">
        <v>42182</v>
      </c>
      <c r="F436" s="47" t="s">
        <v>216</v>
      </c>
      <c r="G436" t="str" cm="1">
        <f t="array" ref="G436">_xlfn.IFS(C435&lt;=1000,"LOW",C435&lt;=2500,"MEDIUM",C435&gt;2500,"HIGH")</f>
        <v>MEDIUM</v>
      </c>
    </row>
    <row r="437" spans="1:7" x14ac:dyDescent="0.3">
      <c r="A437" s="44" t="s">
        <v>236</v>
      </c>
      <c r="B437" s="45" t="s">
        <v>291</v>
      </c>
      <c r="C437" s="45">
        <v>2296</v>
      </c>
      <c r="D437" s="45" t="s">
        <v>218</v>
      </c>
      <c r="E437" s="46">
        <v>42324</v>
      </c>
      <c r="F437" s="47" t="s">
        <v>221</v>
      </c>
      <c r="G437" t="str" cm="1">
        <f t="array" ref="G437">_xlfn.IFS(C436&lt;=1000,"LOW",C436&lt;=2500,"MEDIUM",C436&gt;2500,"HIGH")</f>
        <v>MEDIUM</v>
      </c>
    </row>
    <row r="438" spans="1:7" x14ac:dyDescent="0.3">
      <c r="A438" s="44" t="s">
        <v>239</v>
      </c>
      <c r="B438" s="45" t="s">
        <v>240</v>
      </c>
      <c r="C438" s="45">
        <v>2297</v>
      </c>
      <c r="D438" s="45" t="s">
        <v>211</v>
      </c>
      <c r="E438" s="46">
        <v>42253</v>
      </c>
      <c r="F438" s="47" t="s">
        <v>228</v>
      </c>
      <c r="G438" t="str" cm="1">
        <f t="array" ref="G438">_xlfn.IFS(C437&lt;=1000,"LOW",C437&lt;=2500,"MEDIUM",C437&gt;2500,"HIGH")</f>
        <v>MEDIUM</v>
      </c>
    </row>
    <row r="439" spans="1:7" x14ac:dyDescent="0.3">
      <c r="A439" s="44" t="s">
        <v>233</v>
      </c>
      <c r="B439" s="45" t="s">
        <v>310</v>
      </c>
      <c r="C439" s="45">
        <v>2298</v>
      </c>
      <c r="D439" s="45" t="s">
        <v>235</v>
      </c>
      <c r="E439" s="46">
        <v>42165</v>
      </c>
      <c r="F439" s="47" t="s">
        <v>216</v>
      </c>
      <c r="G439" t="str" cm="1">
        <f t="array" ref="G439">_xlfn.IFS(C438&lt;=1000,"LOW",C438&lt;=2500,"MEDIUM",C438&gt;2500,"HIGH")</f>
        <v>MEDIUM</v>
      </c>
    </row>
    <row r="440" spans="1:7" x14ac:dyDescent="0.3">
      <c r="A440" s="44" t="s">
        <v>223</v>
      </c>
      <c r="B440" s="45" t="s">
        <v>295</v>
      </c>
      <c r="C440" s="45">
        <v>2299</v>
      </c>
      <c r="D440" s="45" t="s">
        <v>215</v>
      </c>
      <c r="E440" s="46">
        <v>42196</v>
      </c>
      <c r="F440" s="47" t="s">
        <v>228</v>
      </c>
      <c r="G440" t="str" cm="1">
        <f t="array" ref="G440">_xlfn.IFS(C439&lt;=1000,"LOW",C439&lt;=2500,"MEDIUM",C439&gt;2500,"HIGH")</f>
        <v>MEDIUM</v>
      </c>
    </row>
    <row r="441" spans="1:7" x14ac:dyDescent="0.3">
      <c r="A441" s="44" t="s">
        <v>231</v>
      </c>
      <c r="B441" s="45" t="s">
        <v>302</v>
      </c>
      <c r="C441" s="45">
        <v>2305</v>
      </c>
      <c r="D441" s="45" t="s">
        <v>211</v>
      </c>
      <c r="E441" s="46">
        <v>41644</v>
      </c>
      <c r="F441" s="47" t="s">
        <v>212</v>
      </c>
      <c r="G441" t="str" cm="1">
        <f t="array" ref="G441">_xlfn.IFS(C440&lt;=1000,"LOW",C440&lt;=2500,"MEDIUM",C440&gt;2500,"HIGH")</f>
        <v>MEDIUM</v>
      </c>
    </row>
    <row r="442" spans="1:7" x14ac:dyDescent="0.3">
      <c r="A442" s="44" t="s">
        <v>233</v>
      </c>
      <c r="B442" s="45" t="s">
        <v>248</v>
      </c>
      <c r="C442" s="45">
        <v>2311</v>
      </c>
      <c r="D442" s="45" t="s">
        <v>215</v>
      </c>
      <c r="E442" s="46">
        <v>42167</v>
      </c>
      <c r="F442" s="47" t="s">
        <v>216</v>
      </c>
      <c r="G442" t="str" cm="1">
        <f t="array" ref="G442">_xlfn.IFS(C441&lt;=1000,"LOW",C441&lt;=2500,"MEDIUM",C441&gt;2500,"HIGH")</f>
        <v>MEDIUM</v>
      </c>
    </row>
    <row r="443" spans="1:7" x14ac:dyDescent="0.3">
      <c r="A443" s="44" t="s">
        <v>223</v>
      </c>
      <c r="B443" s="45" t="s">
        <v>276</v>
      </c>
      <c r="C443" s="45">
        <v>2312</v>
      </c>
      <c r="D443" s="45" t="s">
        <v>220</v>
      </c>
      <c r="E443" s="46">
        <v>41753</v>
      </c>
      <c r="F443" s="47" t="s">
        <v>216</v>
      </c>
      <c r="G443" t="str" cm="1">
        <f t="array" ref="G443">_xlfn.IFS(C442&lt;=1000,"LOW",C442&lt;=2500,"MEDIUM",C442&gt;2500,"HIGH")</f>
        <v>MEDIUM</v>
      </c>
    </row>
    <row r="444" spans="1:7" x14ac:dyDescent="0.3">
      <c r="A444" s="44" t="s">
        <v>231</v>
      </c>
      <c r="B444" s="45" t="s">
        <v>279</v>
      </c>
      <c r="C444" s="45">
        <v>2313</v>
      </c>
      <c r="D444" s="45" t="s">
        <v>218</v>
      </c>
      <c r="E444" s="46">
        <v>42106</v>
      </c>
      <c r="F444" s="47" t="s">
        <v>216</v>
      </c>
      <c r="G444" t="str" cm="1">
        <f t="array" ref="G444">_xlfn.IFS(C443&lt;=1000,"LOW",C443&lt;=2500,"MEDIUM",C443&gt;2500,"HIGH")</f>
        <v>MEDIUM</v>
      </c>
    </row>
    <row r="445" spans="1:7" x14ac:dyDescent="0.3">
      <c r="A445" s="44" t="s">
        <v>223</v>
      </c>
      <c r="B445" s="45" t="s">
        <v>304</v>
      </c>
      <c r="C445" s="45">
        <v>2317</v>
      </c>
      <c r="D445" s="45" t="s">
        <v>254</v>
      </c>
      <c r="E445" s="46">
        <v>42119</v>
      </c>
      <c r="F445" s="47" t="s">
        <v>216</v>
      </c>
      <c r="G445" t="str" cm="1">
        <f t="array" ref="G445">_xlfn.IFS(C444&lt;=1000,"LOW",C444&lt;=2500,"MEDIUM",C444&gt;2500,"HIGH")</f>
        <v>MEDIUM</v>
      </c>
    </row>
    <row r="446" spans="1:7" x14ac:dyDescent="0.3">
      <c r="A446" s="44" t="s">
        <v>213</v>
      </c>
      <c r="B446" s="45" t="s">
        <v>214</v>
      </c>
      <c r="C446" s="45">
        <v>2323</v>
      </c>
      <c r="D446" s="45" t="s">
        <v>230</v>
      </c>
      <c r="E446" s="46">
        <v>41713</v>
      </c>
      <c r="F446" s="47" t="s">
        <v>212</v>
      </c>
      <c r="G446" t="str" cm="1">
        <f t="array" ref="G446">_xlfn.IFS(C445&lt;=1000,"LOW",C445&lt;=2500,"MEDIUM",C445&gt;2500,"HIGH")</f>
        <v>MEDIUM</v>
      </c>
    </row>
    <row r="447" spans="1:7" x14ac:dyDescent="0.3">
      <c r="A447" s="44" t="s">
        <v>209</v>
      </c>
      <c r="B447" s="45" t="s">
        <v>270</v>
      </c>
      <c r="C447" s="45">
        <v>2323</v>
      </c>
      <c r="D447" s="45" t="s">
        <v>218</v>
      </c>
      <c r="E447" s="46">
        <v>41757</v>
      </c>
      <c r="F447" s="47" t="s">
        <v>216</v>
      </c>
      <c r="G447" t="str" cm="1">
        <f t="array" ref="G447">_xlfn.IFS(C446&lt;=1000,"LOW",C446&lt;=2500,"MEDIUM",C446&gt;2500,"HIGH")</f>
        <v>MEDIUM</v>
      </c>
    </row>
    <row r="448" spans="1:7" x14ac:dyDescent="0.3">
      <c r="A448" s="44" t="s">
        <v>231</v>
      </c>
      <c r="B448" s="45" t="s">
        <v>309</v>
      </c>
      <c r="C448" s="45">
        <v>2326</v>
      </c>
      <c r="D448" s="45" t="s">
        <v>222</v>
      </c>
      <c r="E448" s="46">
        <v>41772</v>
      </c>
      <c r="F448" s="47" t="s">
        <v>216</v>
      </c>
      <c r="G448" t="str" cm="1">
        <f t="array" ref="G448">_xlfn.IFS(C447&lt;=1000,"LOW",C447&lt;=2500,"MEDIUM",C447&gt;2500,"HIGH")</f>
        <v>MEDIUM</v>
      </c>
    </row>
    <row r="449" spans="1:7" x14ac:dyDescent="0.3">
      <c r="A449" s="44" t="s">
        <v>223</v>
      </c>
      <c r="B449" s="45" t="s">
        <v>311</v>
      </c>
      <c r="C449" s="45">
        <v>2334</v>
      </c>
      <c r="D449" s="45" t="s">
        <v>222</v>
      </c>
      <c r="E449" s="46">
        <v>42319</v>
      </c>
      <c r="F449" s="47" t="s">
        <v>221</v>
      </c>
      <c r="G449" t="str" cm="1">
        <f t="array" ref="G449">_xlfn.IFS(C448&lt;=1000,"LOW",C448&lt;=2500,"MEDIUM",C448&gt;2500,"HIGH")</f>
        <v>MEDIUM</v>
      </c>
    </row>
    <row r="450" spans="1:7" x14ac:dyDescent="0.3">
      <c r="A450" s="44" t="s">
        <v>236</v>
      </c>
      <c r="B450" s="45" t="s">
        <v>296</v>
      </c>
      <c r="C450" s="45">
        <v>2337</v>
      </c>
      <c r="D450" s="45" t="s">
        <v>245</v>
      </c>
      <c r="E450" s="46">
        <v>42075</v>
      </c>
      <c r="F450" s="47" t="s">
        <v>212</v>
      </c>
      <c r="G450" t="str" cm="1">
        <f t="array" ref="G450">_xlfn.IFS(C449&lt;=1000,"LOW",C449&lt;=2500,"MEDIUM",C449&gt;2500,"HIGH")</f>
        <v>MEDIUM</v>
      </c>
    </row>
    <row r="451" spans="1:7" x14ac:dyDescent="0.3">
      <c r="A451" s="44" t="s">
        <v>236</v>
      </c>
      <c r="B451" s="45" t="s">
        <v>308</v>
      </c>
      <c r="C451" s="45">
        <v>2339</v>
      </c>
      <c r="D451" s="45" t="s">
        <v>254</v>
      </c>
      <c r="E451" s="46">
        <v>42139</v>
      </c>
      <c r="F451" s="47" t="s">
        <v>216</v>
      </c>
      <c r="G451" t="str" cm="1">
        <f t="array" ref="G451">_xlfn.IFS(C450&lt;=1000,"LOW",C450&lt;=2500,"MEDIUM",C450&gt;2500,"HIGH")</f>
        <v>MEDIUM</v>
      </c>
    </row>
    <row r="452" spans="1:7" x14ac:dyDescent="0.3">
      <c r="A452" s="44" t="s">
        <v>213</v>
      </c>
      <c r="B452" s="45" t="s">
        <v>278</v>
      </c>
      <c r="C452" s="45">
        <v>2339</v>
      </c>
      <c r="D452" s="45" t="s">
        <v>220</v>
      </c>
      <c r="E452" s="46">
        <v>41796</v>
      </c>
      <c r="F452" s="47" t="s">
        <v>216</v>
      </c>
      <c r="G452" t="str" cm="1">
        <f t="array" ref="G452">_xlfn.IFS(C451&lt;=1000,"LOW",C451&lt;=2500,"MEDIUM",C451&gt;2500,"HIGH")</f>
        <v>MEDIUM</v>
      </c>
    </row>
    <row r="453" spans="1:7" x14ac:dyDescent="0.3">
      <c r="A453" s="44" t="s">
        <v>246</v>
      </c>
      <c r="B453" s="45" t="s">
        <v>247</v>
      </c>
      <c r="C453" s="45">
        <v>2348</v>
      </c>
      <c r="D453" s="45" t="s">
        <v>254</v>
      </c>
      <c r="E453" s="46">
        <v>41934</v>
      </c>
      <c r="F453" s="47" t="s">
        <v>221</v>
      </c>
      <c r="G453" t="str" cm="1">
        <f t="array" ref="G453">_xlfn.IFS(C452&lt;=1000,"LOW",C452&lt;=2500,"MEDIUM",C452&gt;2500,"HIGH")</f>
        <v>MEDIUM</v>
      </c>
    </row>
    <row r="454" spans="1:7" x14ac:dyDescent="0.3">
      <c r="A454" s="44" t="s">
        <v>231</v>
      </c>
      <c r="B454" s="45" t="s">
        <v>257</v>
      </c>
      <c r="C454" s="45">
        <v>2355</v>
      </c>
      <c r="D454" s="45" t="s">
        <v>220</v>
      </c>
      <c r="E454" s="46">
        <v>41873</v>
      </c>
      <c r="F454" s="47" t="s">
        <v>228</v>
      </c>
      <c r="G454" t="str" cm="1">
        <f t="array" ref="G454">_xlfn.IFS(C453&lt;=1000,"LOW",C453&lt;=2500,"MEDIUM",C453&gt;2500,"HIGH")</f>
        <v>MEDIUM</v>
      </c>
    </row>
    <row r="455" spans="1:7" x14ac:dyDescent="0.3">
      <c r="A455" s="44" t="s">
        <v>213</v>
      </c>
      <c r="B455" s="45" t="s">
        <v>214</v>
      </c>
      <c r="C455" s="45">
        <v>2356</v>
      </c>
      <c r="D455" s="45" t="s">
        <v>220</v>
      </c>
      <c r="E455" s="46">
        <v>41784</v>
      </c>
      <c r="F455" s="47" t="s">
        <v>216</v>
      </c>
      <c r="G455" t="str" cm="1">
        <f t="array" ref="G455">_xlfn.IFS(C454&lt;=1000,"LOW",C454&lt;=2500,"MEDIUM",C454&gt;2500,"HIGH")</f>
        <v>MEDIUM</v>
      </c>
    </row>
    <row r="456" spans="1:7" x14ac:dyDescent="0.3">
      <c r="A456" s="44" t="s">
        <v>209</v>
      </c>
      <c r="B456" s="45" t="s">
        <v>219</v>
      </c>
      <c r="C456" s="45">
        <v>2357</v>
      </c>
      <c r="D456" s="45" t="s">
        <v>215</v>
      </c>
      <c r="E456" s="46">
        <v>42147</v>
      </c>
      <c r="F456" s="47" t="s">
        <v>216</v>
      </c>
      <c r="G456" t="str" cm="1">
        <f t="array" ref="G456">_xlfn.IFS(C455&lt;=1000,"LOW",C455&lt;=2500,"MEDIUM",C455&gt;2500,"HIGH")</f>
        <v>MEDIUM</v>
      </c>
    </row>
    <row r="457" spans="1:7" x14ac:dyDescent="0.3">
      <c r="A457" s="44" t="s">
        <v>209</v>
      </c>
      <c r="B457" s="45" t="s">
        <v>270</v>
      </c>
      <c r="C457" s="45">
        <v>2361</v>
      </c>
      <c r="D457" s="45" t="s">
        <v>254</v>
      </c>
      <c r="E457" s="46">
        <v>42282</v>
      </c>
      <c r="F457" s="47" t="s">
        <v>221</v>
      </c>
      <c r="G457" t="str" cm="1">
        <f t="array" ref="G457">_xlfn.IFS(C456&lt;=1000,"LOW",C456&lt;=2500,"MEDIUM",C456&gt;2500,"HIGH")</f>
        <v>MEDIUM</v>
      </c>
    </row>
    <row r="458" spans="1:7" x14ac:dyDescent="0.3">
      <c r="A458" s="44" t="s">
        <v>246</v>
      </c>
      <c r="B458" s="45" t="s">
        <v>287</v>
      </c>
      <c r="C458" s="45">
        <v>2368</v>
      </c>
      <c r="D458" s="45" t="s">
        <v>215</v>
      </c>
      <c r="E458" s="46">
        <v>41752</v>
      </c>
      <c r="F458" s="47" t="s">
        <v>216</v>
      </c>
      <c r="G458" t="str" cm="1">
        <f t="array" ref="G458">_xlfn.IFS(C457&lt;=1000,"LOW",C457&lt;=2500,"MEDIUM",C457&gt;2500,"HIGH")</f>
        <v>MEDIUM</v>
      </c>
    </row>
    <row r="459" spans="1:7" x14ac:dyDescent="0.3">
      <c r="A459" s="44" t="s">
        <v>231</v>
      </c>
      <c r="B459" s="45" t="s">
        <v>232</v>
      </c>
      <c r="C459" s="45">
        <v>2369</v>
      </c>
      <c r="D459" s="45" t="s">
        <v>220</v>
      </c>
      <c r="E459" s="46">
        <v>42258</v>
      </c>
      <c r="F459" s="47" t="s">
        <v>228</v>
      </c>
      <c r="G459" t="str" cm="1">
        <f t="array" ref="G459">_xlfn.IFS(C458&lt;=1000,"LOW",C458&lt;=2500,"MEDIUM",C458&gt;2500,"HIGH")</f>
        <v>MEDIUM</v>
      </c>
    </row>
    <row r="460" spans="1:7" x14ac:dyDescent="0.3">
      <c r="A460" s="44" t="s">
        <v>233</v>
      </c>
      <c r="B460" s="45" t="s">
        <v>250</v>
      </c>
      <c r="C460" s="45">
        <v>2370</v>
      </c>
      <c r="D460" s="45" t="s">
        <v>225</v>
      </c>
      <c r="E460" s="46">
        <v>42151</v>
      </c>
      <c r="F460" s="47" t="s">
        <v>216</v>
      </c>
      <c r="G460" t="str" cm="1">
        <f t="array" ref="G460">_xlfn.IFS(C459&lt;=1000,"LOW",C459&lt;=2500,"MEDIUM",C459&gt;2500,"HIGH")</f>
        <v>MEDIUM</v>
      </c>
    </row>
    <row r="461" spans="1:7" x14ac:dyDescent="0.3">
      <c r="A461" s="44" t="s">
        <v>233</v>
      </c>
      <c r="B461" s="45" t="s">
        <v>260</v>
      </c>
      <c r="C461" s="45">
        <v>2379</v>
      </c>
      <c r="D461" s="45" t="s">
        <v>225</v>
      </c>
      <c r="E461" s="46">
        <v>42036</v>
      </c>
      <c r="F461" s="47" t="s">
        <v>212</v>
      </c>
      <c r="G461" t="str" cm="1">
        <f t="array" ref="G461">_xlfn.IFS(C460&lt;=1000,"LOW",C460&lt;=2500,"MEDIUM",C460&gt;2500,"HIGH")</f>
        <v>MEDIUM</v>
      </c>
    </row>
    <row r="462" spans="1:7" x14ac:dyDescent="0.3">
      <c r="A462" s="44" t="s">
        <v>233</v>
      </c>
      <c r="B462" s="45" t="s">
        <v>260</v>
      </c>
      <c r="C462" s="45">
        <v>2383</v>
      </c>
      <c r="D462" s="45" t="s">
        <v>230</v>
      </c>
      <c r="E462" s="46">
        <v>41866</v>
      </c>
      <c r="F462" s="47" t="s">
        <v>228</v>
      </c>
      <c r="G462" t="str" cm="1">
        <f t="array" ref="G462">_xlfn.IFS(C461&lt;=1000,"LOW",C461&lt;=2500,"MEDIUM",C461&gt;2500,"HIGH")</f>
        <v>MEDIUM</v>
      </c>
    </row>
    <row r="463" spans="1:7" x14ac:dyDescent="0.3">
      <c r="A463" s="44" t="s">
        <v>239</v>
      </c>
      <c r="B463" s="45" t="s">
        <v>240</v>
      </c>
      <c r="C463" s="45">
        <v>2385</v>
      </c>
      <c r="D463" s="45" t="s">
        <v>225</v>
      </c>
      <c r="E463" s="46">
        <v>42180</v>
      </c>
      <c r="F463" s="47" t="s">
        <v>216</v>
      </c>
      <c r="G463" t="str" cm="1">
        <f t="array" ref="G463">_xlfn.IFS(C462&lt;=1000,"LOW",C462&lt;=2500,"MEDIUM",C462&gt;2500,"HIGH")</f>
        <v>MEDIUM</v>
      </c>
    </row>
    <row r="464" spans="1:7" x14ac:dyDescent="0.3">
      <c r="A464" s="44" t="s">
        <v>233</v>
      </c>
      <c r="B464" s="45" t="s">
        <v>265</v>
      </c>
      <c r="C464" s="45">
        <v>2388</v>
      </c>
      <c r="D464" s="45" t="s">
        <v>230</v>
      </c>
      <c r="E464" s="46">
        <v>41812</v>
      </c>
      <c r="F464" s="47" t="s">
        <v>216</v>
      </c>
      <c r="G464" t="str" cm="1">
        <f t="array" ref="G464">_xlfn.IFS(C463&lt;=1000,"LOW",C463&lt;=2500,"MEDIUM",C463&gt;2500,"HIGH")</f>
        <v>MEDIUM</v>
      </c>
    </row>
    <row r="465" spans="1:7" x14ac:dyDescent="0.3">
      <c r="A465" s="44" t="s">
        <v>246</v>
      </c>
      <c r="B465" s="45" t="s">
        <v>287</v>
      </c>
      <c r="C465" s="45">
        <v>2388</v>
      </c>
      <c r="D465" s="45" t="s">
        <v>230</v>
      </c>
      <c r="E465" s="46">
        <v>41793</v>
      </c>
      <c r="F465" s="47" t="s">
        <v>216</v>
      </c>
      <c r="G465" t="str" cm="1">
        <f t="array" ref="G465">_xlfn.IFS(C464&lt;=1000,"LOW",C464&lt;=2500,"MEDIUM",C464&gt;2500,"HIGH")</f>
        <v>MEDIUM</v>
      </c>
    </row>
    <row r="466" spans="1:7" x14ac:dyDescent="0.3">
      <c r="A466" s="44" t="s">
        <v>223</v>
      </c>
      <c r="B466" s="45" t="s">
        <v>263</v>
      </c>
      <c r="C466" s="45">
        <v>2390</v>
      </c>
      <c r="D466" s="45" t="s">
        <v>245</v>
      </c>
      <c r="E466" s="46">
        <v>41657</v>
      </c>
      <c r="F466" s="47" t="s">
        <v>212</v>
      </c>
      <c r="G466" t="str" cm="1">
        <f t="array" ref="G466">_xlfn.IFS(C465&lt;=1000,"LOW",C465&lt;=2500,"MEDIUM",C465&gt;2500,"HIGH")</f>
        <v>MEDIUM</v>
      </c>
    </row>
    <row r="467" spans="1:7" x14ac:dyDescent="0.3">
      <c r="A467" s="44" t="s">
        <v>223</v>
      </c>
      <c r="B467" s="45" t="s">
        <v>280</v>
      </c>
      <c r="C467" s="45">
        <v>2392</v>
      </c>
      <c r="D467" s="45" t="s">
        <v>235</v>
      </c>
      <c r="E467" s="46">
        <v>42227</v>
      </c>
      <c r="F467" s="47" t="s">
        <v>228</v>
      </c>
      <c r="G467" t="str" cm="1">
        <f t="array" ref="G467">_xlfn.IFS(C466&lt;=1000,"LOW",C466&lt;=2500,"MEDIUM",C466&gt;2500,"HIGH")</f>
        <v>MEDIUM</v>
      </c>
    </row>
    <row r="468" spans="1:7" x14ac:dyDescent="0.3">
      <c r="A468" s="44" t="s">
        <v>231</v>
      </c>
      <c r="B468" s="45" t="s">
        <v>271</v>
      </c>
      <c r="C468" s="45">
        <v>2401</v>
      </c>
      <c r="D468" s="45" t="s">
        <v>218</v>
      </c>
      <c r="E468" s="46">
        <v>41644</v>
      </c>
      <c r="F468" s="47" t="s">
        <v>212</v>
      </c>
      <c r="G468" t="str" cm="1">
        <f t="array" ref="G468">_xlfn.IFS(C467&lt;=1000,"LOW",C467&lt;=2500,"MEDIUM",C467&gt;2500,"HIGH")</f>
        <v>MEDIUM</v>
      </c>
    </row>
    <row r="469" spans="1:7" x14ac:dyDescent="0.3">
      <c r="A469" s="44" t="s">
        <v>223</v>
      </c>
      <c r="B469" s="45" t="s">
        <v>311</v>
      </c>
      <c r="C469" s="45">
        <v>2403</v>
      </c>
      <c r="D469" s="45" t="s">
        <v>220</v>
      </c>
      <c r="E469" s="46">
        <v>42302</v>
      </c>
      <c r="F469" s="47" t="s">
        <v>221</v>
      </c>
      <c r="G469" t="str" cm="1">
        <f t="array" ref="G469">_xlfn.IFS(C468&lt;=1000,"LOW",C468&lt;=2500,"MEDIUM",C468&gt;2500,"HIGH")</f>
        <v>MEDIUM</v>
      </c>
    </row>
    <row r="470" spans="1:7" x14ac:dyDescent="0.3">
      <c r="A470" s="44" t="s">
        <v>231</v>
      </c>
      <c r="B470" s="45" t="s">
        <v>279</v>
      </c>
      <c r="C470" s="45">
        <v>2405</v>
      </c>
      <c r="D470" s="45" t="s">
        <v>225</v>
      </c>
      <c r="E470" s="46">
        <v>42127</v>
      </c>
      <c r="F470" s="47" t="s">
        <v>216</v>
      </c>
      <c r="G470" t="str" cm="1">
        <f t="array" ref="G470">_xlfn.IFS(C469&lt;=1000,"LOW",C469&lt;=2500,"MEDIUM",C469&gt;2500,"HIGH")</f>
        <v>MEDIUM</v>
      </c>
    </row>
    <row r="471" spans="1:7" x14ac:dyDescent="0.3">
      <c r="A471" s="44" t="s">
        <v>233</v>
      </c>
      <c r="B471" s="45" t="s">
        <v>305</v>
      </c>
      <c r="C471" s="45">
        <v>2405</v>
      </c>
      <c r="D471" s="45" t="s">
        <v>222</v>
      </c>
      <c r="E471" s="46">
        <v>41891</v>
      </c>
      <c r="F471" s="47" t="s">
        <v>228</v>
      </c>
      <c r="G471" t="str" cm="1">
        <f t="array" ref="G471">_xlfn.IFS(C470&lt;=1000,"LOW",C470&lt;=2500,"MEDIUM",C470&gt;2500,"HIGH")</f>
        <v>MEDIUM</v>
      </c>
    </row>
    <row r="472" spans="1:7" x14ac:dyDescent="0.3">
      <c r="A472" s="44" t="s">
        <v>246</v>
      </c>
      <c r="B472" s="45" t="s">
        <v>301</v>
      </c>
      <c r="C472" s="45">
        <v>2416</v>
      </c>
      <c r="D472" s="45" t="s">
        <v>220</v>
      </c>
      <c r="E472" s="46">
        <v>41905</v>
      </c>
      <c r="F472" s="47" t="s">
        <v>228</v>
      </c>
      <c r="G472" t="str" cm="1">
        <f t="array" ref="G472">_xlfn.IFS(C471&lt;=1000,"LOW",C471&lt;=2500,"MEDIUM",C471&gt;2500,"HIGH")</f>
        <v>MEDIUM</v>
      </c>
    </row>
    <row r="473" spans="1:7" x14ac:dyDescent="0.3">
      <c r="A473" s="44" t="s">
        <v>223</v>
      </c>
      <c r="B473" s="45" t="s">
        <v>304</v>
      </c>
      <c r="C473" s="45">
        <v>2417</v>
      </c>
      <c r="D473" s="45" t="s">
        <v>218</v>
      </c>
      <c r="E473" s="46">
        <v>41872</v>
      </c>
      <c r="F473" s="47" t="s">
        <v>228</v>
      </c>
      <c r="G473" t="str" cm="1">
        <f t="array" ref="G473">_xlfn.IFS(C472&lt;=1000,"LOW",C472&lt;=2500,"MEDIUM",C472&gt;2500,"HIGH")</f>
        <v>MEDIUM</v>
      </c>
    </row>
    <row r="474" spans="1:7" x14ac:dyDescent="0.3">
      <c r="A474" s="44" t="s">
        <v>233</v>
      </c>
      <c r="B474" s="45" t="s">
        <v>310</v>
      </c>
      <c r="C474" s="45">
        <v>2418</v>
      </c>
      <c r="D474" s="45" t="s">
        <v>245</v>
      </c>
      <c r="E474" s="46">
        <v>42343</v>
      </c>
      <c r="F474" s="47" t="s">
        <v>221</v>
      </c>
      <c r="G474" t="str" cm="1">
        <f t="array" ref="G474">_xlfn.IFS(C473&lt;=1000,"LOW",C473&lt;=2500,"MEDIUM",C473&gt;2500,"HIGH")</f>
        <v>MEDIUM</v>
      </c>
    </row>
    <row r="475" spans="1:7" x14ac:dyDescent="0.3">
      <c r="A475" s="44" t="s">
        <v>213</v>
      </c>
      <c r="B475" s="45" t="s">
        <v>268</v>
      </c>
      <c r="C475" s="45">
        <v>2418</v>
      </c>
      <c r="D475" s="45" t="s">
        <v>215</v>
      </c>
      <c r="E475" s="46">
        <v>41921</v>
      </c>
      <c r="F475" s="47" t="s">
        <v>221</v>
      </c>
      <c r="G475" t="str" cm="1">
        <f t="array" ref="G475">_xlfn.IFS(C474&lt;=1000,"LOW",C474&lt;=2500,"MEDIUM",C474&gt;2500,"HIGH")</f>
        <v>MEDIUM</v>
      </c>
    </row>
    <row r="476" spans="1:7" x14ac:dyDescent="0.3">
      <c r="A476" s="44" t="s">
        <v>233</v>
      </c>
      <c r="B476" s="45" t="s">
        <v>283</v>
      </c>
      <c r="C476" s="45">
        <v>2426</v>
      </c>
      <c r="D476" s="45" t="s">
        <v>222</v>
      </c>
      <c r="E476" s="46">
        <v>42318</v>
      </c>
      <c r="F476" s="47" t="s">
        <v>221</v>
      </c>
      <c r="G476" t="str" cm="1">
        <f t="array" ref="G476">_xlfn.IFS(C475&lt;=1000,"LOW",C475&lt;=2500,"MEDIUM",C475&gt;2500,"HIGH")</f>
        <v>MEDIUM</v>
      </c>
    </row>
    <row r="477" spans="1:7" x14ac:dyDescent="0.3">
      <c r="A477" s="44" t="s">
        <v>233</v>
      </c>
      <c r="B477" s="45" t="s">
        <v>258</v>
      </c>
      <c r="C477" s="45">
        <v>2431</v>
      </c>
      <c r="D477" s="45" t="s">
        <v>245</v>
      </c>
      <c r="E477" s="46">
        <v>42229</v>
      </c>
      <c r="F477" s="47" t="s">
        <v>228</v>
      </c>
      <c r="G477" t="str" cm="1">
        <f t="array" ref="G477">_xlfn.IFS(C476&lt;=1000,"LOW",C476&lt;=2500,"MEDIUM",C476&gt;2500,"HIGH")</f>
        <v>MEDIUM</v>
      </c>
    </row>
    <row r="478" spans="1:7" x14ac:dyDescent="0.3">
      <c r="A478" s="44" t="s">
        <v>223</v>
      </c>
      <c r="B478" s="45" t="s">
        <v>273</v>
      </c>
      <c r="C478" s="45">
        <v>2433</v>
      </c>
      <c r="D478" s="45" t="s">
        <v>222</v>
      </c>
      <c r="E478" s="46">
        <v>41902</v>
      </c>
      <c r="F478" s="47" t="s">
        <v>228</v>
      </c>
      <c r="G478" t="str" cm="1">
        <f t="array" ref="G478">_xlfn.IFS(C477&lt;=1000,"LOW",C477&lt;=2500,"MEDIUM",C477&gt;2500,"HIGH")</f>
        <v>MEDIUM</v>
      </c>
    </row>
    <row r="479" spans="1:7" x14ac:dyDescent="0.3">
      <c r="A479" s="44" t="s">
        <v>213</v>
      </c>
      <c r="B479" s="45" t="s">
        <v>268</v>
      </c>
      <c r="C479" s="45">
        <v>2433</v>
      </c>
      <c r="D479" s="45" t="s">
        <v>225</v>
      </c>
      <c r="E479" s="46">
        <v>41926</v>
      </c>
      <c r="F479" s="47" t="s">
        <v>221</v>
      </c>
      <c r="G479" t="str" cm="1">
        <f t="array" ref="G479">_xlfn.IFS(C478&lt;=1000,"LOW",C478&lt;=2500,"MEDIUM",C478&gt;2500,"HIGH")</f>
        <v>MEDIUM</v>
      </c>
    </row>
    <row r="480" spans="1:7" x14ac:dyDescent="0.3">
      <c r="A480" s="44" t="s">
        <v>236</v>
      </c>
      <c r="B480" s="45" t="s">
        <v>300</v>
      </c>
      <c r="C480" s="45">
        <v>2435</v>
      </c>
      <c r="D480" s="45" t="s">
        <v>220</v>
      </c>
      <c r="E480" s="46">
        <v>41990</v>
      </c>
      <c r="F480" s="47" t="s">
        <v>221</v>
      </c>
      <c r="G480" t="str" cm="1">
        <f t="array" ref="G480">_xlfn.IFS(C479&lt;=1000,"LOW",C479&lt;=2500,"MEDIUM",C479&gt;2500,"HIGH")</f>
        <v>MEDIUM</v>
      </c>
    </row>
    <row r="481" spans="1:7" x14ac:dyDescent="0.3">
      <c r="A481" s="44" t="s">
        <v>233</v>
      </c>
      <c r="B481" s="45" t="s">
        <v>248</v>
      </c>
      <c r="C481" s="45">
        <v>2443</v>
      </c>
      <c r="D481" s="45" t="s">
        <v>254</v>
      </c>
      <c r="E481" s="46">
        <v>41926</v>
      </c>
      <c r="F481" s="47" t="s">
        <v>221</v>
      </c>
      <c r="G481" t="str" cm="1">
        <f t="array" ref="G481">_xlfn.IFS(C480&lt;=1000,"LOW",C480&lt;=2500,"MEDIUM",C480&gt;2500,"HIGH")</f>
        <v>MEDIUM</v>
      </c>
    </row>
    <row r="482" spans="1:7" x14ac:dyDescent="0.3">
      <c r="A482" s="44" t="s">
        <v>236</v>
      </c>
      <c r="B482" s="45" t="s">
        <v>253</v>
      </c>
      <c r="C482" s="45">
        <v>2445</v>
      </c>
      <c r="D482" s="45" t="s">
        <v>220</v>
      </c>
      <c r="E482" s="46">
        <v>42165</v>
      </c>
      <c r="F482" s="47" t="s">
        <v>216</v>
      </c>
      <c r="G482" t="str" cm="1">
        <f t="array" ref="G482">_xlfn.IFS(C481&lt;=1000,"LOW",C481&lt;=2500,"MEDIUM",C481&gt;2500,"HIGH")</f>
        <v>MEDIUM</v>
      </c>
    </row>
    <row r="483" spans="1:7" x14ac:dyDescent="0.3">
      <c r="A483" s="44" t="s">
        <v>223</v>
      </c>
      <c r="B483" s="45" t="s">
        <v>282</v>
      </c>
      <c r="C483" s="45">
        <v>2447</v>
      </c>
      <c r="D483" s="45" t="s">
        <v>254</v>
      </c>
      <c r="E483" s="46">
        <v>42097</v>
      </c>
      <c r="F483" s="47" t="s">
        <v>216</v>
      </c>
      <c r="G483" t="str" cm="1">
        <f t="array" ref="G483">_xlfn.IFS(C482&lt;=1000,"LOW",C482&lt;=2500,"MEDIUM",C482&gt;2500,"HIGH")</f>
        <v>MEDIUM</v>
      </c>
    </row>
    <row r="484" spans="1:7" x14ac:dyDescent="0.3">
      <c r="A484" s="44" t="s">
        <v>236</v>
      </c>
      <c r="B484" s="45" t="s">
        <v>253</v>
      </c>
      <c r="C484" s="45">
        <v>2448</v>
      </c>
      <c r="D484" s="45" t="s">
        <v>245</v>
      </c>
      <c r="E484" s="46">
        <v>41782</v>
      </c>
      <c r="F484" s="47" t="s">
        <v>216</v>
      </c>
      <c r="G484" t="str" cm="1">
        <f t="array" ref="G484">_xlfn.IFS(C483&lt;=1000,"LOW",C483&lt;=2500,"MEDIUM",C483&gt;2500,"HIGH")</f>
        <v>MEDIUM</v>
      </c>
    </row>
    <row r="485" spans="1:7" x14ac:dyDescent="0.3">
      <c r="A485" s="44" t="s">
        <v>233</v>
      </c>
      <c r="B485" s="45" t="s">
        <v>255</v>
      </c>
      <c r="C485" s="45">
        <v>2450</v>
      </c>
      <c r="D485" s="45" t="s">
        <v>225</v>
      </c>
      <c r="E485" s="46">
        <v>41646</v>
      </c>
      <c r="F485" s="47" t="s">
        <v>212</v>
      </c>
      <c r="G485" t="str" cm="1">
        <f t="array" ref="G485">_xlfn.IFS(C484&lt;=1000,"LOW",C484&lt;=2500,"MEDIUM",C484&gt;2500,"HIGH")</f>
        <v>MEDIUM</v>
      </c>
    </row>
    <row r="486" spans="1:7" x14ac:dyDescent="0.3">
      <c r="A486" s="44" t="s">
        <v>239</v>
      </c>
      <c r="B486" s="45" t="s">
        <v>243</v>
      </c>
      <c r="C486" s="45">
        <v>2451</v>
      </c>
      <c r="D486" s="45" t="s">
        <v>222</v>
      </c>
      <c r="E486" s="46">
        <v>41814</v>
      </c>
      <c r="F486" s="47" t="s">
        <v>216</v>
      </c>
      <c r="G486" t="str" cm="1">
        <f t="array" ref="G486">_xlfn.IFS(C485&lt;=1000,"LOW",C485&lt;=2500,"MEDIUM",C485&gt;2500,"HIGH")</f>
        <v>MEDIUM</v>
      </c>
    </row>
    <row r="487" spans="1:7" x14ac:dyDescent="0.3">
      <c r="A487" s="44" t="s">
        <v>236</v>
      </c>
      <c r="B487" s="45" t="s">
        <v>284</v>
      </c>
      <c r="C487" s="45">
        <v>2455</v>
      </c>
      <c r="D487" s="45" t="s">
        <v>222</v>
      </c>
      <c r="E487" s="46">
        <v>41756</v>
      </c>
      <c r="F487" s="47" t="s">
        <v>216</v>
      </c>
      <c r="G487" t="str" cm="1">
        <f t="array" ref="G487">_xlfn.IFS(C486&lt;=1000,"LOW",C486&lt;=2500,"MEDIUM",C486&gt;2500,"HIGH")</f>
        <v>MEDIUM</v>
      </c>
    </row>
    <row r="488" spans="1:7" x14ac:dyDescent="0.3">
      <c r="A488" s="44" t="s">
        <v>233</v>
      </c>
      <c r="B488" s="45" t="s">
        <v>258</v>
      </c>
      <c r="C488" s="45">
        <v>2457</v>
      </c>
      <c r="D488" s="45" t="s">
        <v>215</v>
      </c>
      <c r="E488" s="46">
        <v>41952</v>
      </c>
      <c r="F488" s="47" t="s">
        <v>221</v>
      </c>
      <c r="G488" t="str" cm="1">
        <f t="array" ref="G488">_xlfn.IFS(C487&lt;=1000,"LOW",C487&lt;=2500,"MEDIUM",C487&gt;2500,"HIGH")</f>
        <v>MEDIUM</v>
      </c>
    </row>
    <row r="489" spans="1:7" x14ac:dyDescent="0.3">
      <c r="A489" s="44" t="s">
        <v>233</v>
      </c>
      <c r="B489" s="45" t="s">
        <v>252</v>
      </c>
      <c r="C489" s="45">
        <v>2464</v>
      </c>
      <c r="D489" s="45" t="s">
        <v>215</v>
      </c>
      <c r="E489" s="46">
        <v>41646</v>
      </c>
      <c r="F489" s="47" t="s">
        <v>212</v>
      </c>
      <c r="G489" t="str" cm="1">
        <f t="array" ref="G489">_xlfn.IFS(C488&lt;=1000,"LOW",C488&lt;=2500,"MEDIUM",C488&gt;2500,"HIGH")</f>
        <v>MEDIUM</v>
      </c>
    </row>
    <row r="490" spans="1:7" x14ac:dyDescent="0.3">
      <c r="A490" s="44" t="s">
        <v>233</v>
      </c>
      <c r="B490" s="45" t="s">
        <v>260</v>
      </c>
      <c r="C490" s="45">
        <v>2465</v>
      </c>
      <c r="D490" s="45" t="s">
        <v>235</v>
      </c>
      <c r="E490" s="46">
        <v>41872</v>
      </c>
      <c r="F490" s="47" t="s">
        <v>228</v>
      </c>
      <c r="G490" t="str" cm="1">
        <f t="array" ref="G490">_xlfn.IFS(C489&lt;=1000,"LOW",C489&lt;=2500,"MEDIUM",C489&gt;2500,"HIGH")</f>
        <v>MEDIUM</v>
      </c>
    </row>
    <row r="491" spans="1:7" x14ac:dyDescent="0.3">
      <c r="A491" s="44" t="s">
        <v>223</v>
      </c>
      <c r="B491" s="45" t="s">
        <v>259</v>
      </c>
      <c r="C491" s="45">
        <v>2470</v>
      </c>
      <c r="D491" s="45" t="s">
        <v>220</v>
      </c>
      <c r="E491" s="46">
        <v>41953</v>
      </c>
      <c r="F491" s="47" t="s">
        <v>221</v>
      </c>
      <c r="G491" t="str" cm="1">
        <f t="array" ref="G491">_xlfn.IFS(C490&lt;=1000,"LOW",C490&lt;=2500,"MEDIUM",C490&gt;2500,"HIGH")</f>
        <v>MEDIUM</v>
      </c>
    </row>
    <row r="492" spans="1:7" x14ac:dyDescent="0.3">
      <c r="A492" s="44" t="s">
        <v>233</v>
      </c>
      <c r="B492" s="45" t="s">
        <v>250</v>
      </c>
      <c r="C492" s="45">
        <v>2471</v>
      </c>
      <c r="D492" s="45" t="s">
        <v>225</v>
      </c>
      <c r="E492" s="46">
        <v>42228</v>
      </c>
      <c r="F492" s="47" t="s">
        <v>228</v>
      </c>
      <c r="G492" t="str" cm="1">
        <f t="array" ref="G492">_xlfn.IFS(C491&lt;=1000,"LOW",C491&lt;=2500,"MEDIUM",C491&gt;2500,"HIGH")</f>
        <v>MEDIUM</v>
      </c>
    </row>
    <row r="493" spans="1:7" x14ac:dyDescent="0.3">
      <c r="A493" s="44" t="s">
        <v>231</v>
      </c>
      <c r="B493" s="45" t="s">
        <v>271</v>
      </c>
      <c r="C493" s="45">
        <v>2477</v>
      </c>
      <c r="D493" s="45" t="s">
        <v>245</v>
      </c>
      <c r="E493" s="46">
        <v>41737</v>
      </c>
      <c r="F493" s="47" t="s">
        <v>216</v>
      </c>
      <c r="G493" t="str" cm="1">
        <f t="array" ref="G493">_xlfn.IFS(C492&lt;=1000,"LOW",C492&lt;=2500,"MEDIUM",C492&gt;2500,"HIGH")</f>
        <v>MEDIUM</v>
      </c>
    </row>
    <row r="494" spans="1:7" x14ac:dyDescent="0.3">
      <c r="A494" s="44" t="s">
        <v>223</v>
      </c>
      <c r="B494" s="45" t="s">
        <v>259</v>
      </c>
      <c r="C494" s="45">
        <v>2484</v>
      </c>
      <c r="D494" s="45" t="s">
        <v>215</v>
      </c>
      <c r="E494" s="46">
        <v>41671</v>
      </c>
      <c r="F494" s="47" t="s">
        <v>212</v>
      </c>
      <c r="G494" t="str" cm="1">
        <f t="array" ref="G494">_xlfn.IFS(C493&lt;=1000,"LOW",C493&lt;=2500,"MEDIUM",C493&gt;2500,"HIGH")</f>
        <v>MEDIUM</v>
      </c>
    </row>
    <row r="495" spans="1:7" x14ac:dyDescent="0.3">
      <c r="A495" s="44" t="s">
        <v>233</v>
      </c>
      <c r="B495" s="45" t="s">
        <v>252</v>
      </c>
      <c r="C495" s="45">
        <v>2484</v>
      </c>
      <c r="D495" s="45" t="s">
        <v>211</v>
      </c>
      <c r="E495" s="46">
        <v>41784</v>
      </c>
      <c r="F495" s="47" t="s">
        <v>216</v>
      </c>
      <c r="G495" t="str" cm="1">
        <f t="array" ref="G495">_xlfn.IFS(C494&lt;=1000,"LOW",C494&lt;=2500,"MEDIUM",C494&gt;2500,"HIGH")</f>
        <v>MEDIUM</v>
      </c>
    </row>
    <row r="496" spans="1:7" x14ac:dyDescent="0.3">
      <c r="A496" s="44" t="s">
        <v>213</v>
      </c>
      <c r="B496" s="45" t="s">
        <v>229</v>
      </c>
      <c r="C496" s="45">
        <v>2485</v>
      </c>
      <c r="D496" s="45" t="s">
        <v>230</v>
      </c>
      <c r="E496" s="46">
        <v>42165</v>
      </c>
      <c r="F496" s="47" t="s">
        <v>216</v>
      </c>
      <c r="G496" t="str" cm="1">
        <f t="array" ref="G496">_xlfn.IFS(C495&lt;=1000,"LOW",C495&lt;=2500,"MEDIUM",C495&gt;2500,"HIGH")</f>
        <v>MEDIUM</v>
      </c>
    </row>
    <row r="497" spans="1:7" x14ac:dyDescent="0.3">
      <c r="A497" s="44" t="s">
        <v>233</v>
      </c>
      <c r="B497" s="45" t="s">
        <v>265</v>
      </c>
      <c r="C497" s="45">
        <v>2488</v>
      </c>
      <c r="D497" s="45" t="s">
        <v>211</v>
      </c>
      <c r="E497" s="46">
        <v>41711</v>
      </c>
      <c r="F497" s="47" t="s">
        <v>212</v>
      </c>
      <c r="G497" t="str" cm="1">
        <f t="array" ref="G497">_xlfn.IFS(C496&lt;=1000,"LOW",C496&lt;=2500,"MEDIUM",C496&gt;2500,"HIGH")</f>
        <v>MEDIUM</v>
      </c>
    </row>
    <row r="498" spans="1:7" x14ac:dyDescent="0.3">
      <c r="A498" s="44" t="s">
        <v>236</v>
      </c>
      <c r="B498" s="45" t="s">
        <v>291</v>
      </c>
      <c r="C498" s="45">
        <v>2488</v>
      </c>
      <c r="D498" s="45" t="s">
        <v>225</v>
      </c>
      <c r="E498" s="46">
        <v>42218</v>
      </c>
      <c r="F498" s="47" t="s">
        <v>228</v>
      </c>
      <c r="G498" t="str" cm="1">
        <f t="array" ref="G498">_xlfn.IFS(C497&lt;=1000,"LOW",C497&lt;=2500,"MEDIUM",C497&gt;2500,"HIGH")</f>
        <v>MEDIUM</v>
      </c>
    </row>
    <row r="499" spans="1:7" x14ac:dyDescent="0.3">
      <c r="A499" s="44" t="s">
        <v>246</v>
      </c>
      <c r="B499" s="45" t="s">
        <v>274</v>
      </c>
      <c r="C499" s="45">
        <v>2488</v>
      </c>
      <c r="D499" s="45" t="s">
        <v>211</v>
      </c>
      <c r="E499" s="46">
        <v>41939</v>
      </c>
      <c r="F499" s="47" t="s">
        <v>221</v>
      </c>
      <c r="G499" t="str" cm="1">
        <f t="array" ref="G499">_xlfn.IFS(C498&lt;=1000,"LOW",C498&lt;=2500,"MEDIUM",C498&gt;2500,"HIGH")</f>
        <v>MEDIUM</v>
      </c>
    </row>
    <row r="500" spans="1:7" x14ac:dyDescent="0.3">
      <c r="A500" s="44" t="s">
        <v>213</v>
      </c>
      <c r="B500" s="45" t="s">
        <v>288</v>
      </c>
      <c r="C500" s="45">
        <v>2493</v>
      </c>
      <c r="D500" s="45" t="s">
        <v>254</v>
      </c>
      <c r="E500" s="46">
        <v>42226</v>
      </c>
      <c r="F500" s="47" t="s">
        <v>228</v>
      </c>
      <c r="G500" t="str" cm="1">
        <f t="array" ref="G500">_xlfn.IFS(C499&lt;=1000,"LOW",C499&lt;=2500,"MEDIUM",C499&gt;2500,"HIGH")</f>
        <v>MEDIUM</v>
      </c>
    </row>
    <row r="501" spans="1:7" x14ac:dyDescent="0.3">
      <c r="A501" s="44" t="s">
        <v>223</v>
      </c>
      <c r="B501" s="45" t="s">
        <v>311</v>
      </c>
      <c r="C501" s="45">
        <v>2495</v>
      </c>
      <c r="D501" s="45" t="s">
        <v>211</v>
      </c>
      <c r="E501" s="46">
        <v>42143</v>
      </c>
      <c r="F501" s="47" t="s">
        <v>216</v>
      </c>
      <c r="G501" t="str" cm="1">
        <f t="array" ref="G501">_xlfn.IFS(C500&lt;=1000,"LOW",C500&lt;=2500,"MEDIUM",C500&gt;2500,"HIGH")</f>
        <v>MEDIUM</v>
      </c>
    </row>
    <row r="502" spans="1:7" x14ac:dyDescent="0.3">
      <c r="A502" s="44" t="s">
        <v>233</v>
      </c>
      <c r="B502" s="45" t="s">
        <v>250</v>
      </c>
      <c r="C502" s="45">
        <v>2503</v>
      </c>
      <c r="D502" s="45" t="s">
        <v>230</v>
      </c>
      <c r="E502" s="46">
        <v>42346</v>
      </c>
      <c r="F502" s="47" t="s">
        <v>221</v>
      </c>
      <c r="G502" t="str" cm="1">
        <f t="array" ref="G502">_xlfn.IFS(C501&lt;=1000,"LOW",C501&lt;=2500,"MEDIUM",C501&gt;2500,"HIGH")</f>
        <v>MEDIUM</v>
      </c>
    </row>
    <row r="503" spans="1:7" x14ac:dyDescent="0.3">
      <c r="A503" s="44" t="s">
        <v>233</v>
      </c>
      <c r="B503" s="45" t="s">
        <v>310</v>
      </c>
      <c r="C503" s="45">
        <v>2509</v>
      </c>
      <c r="D503" s="45" t="s">
        <v>230</v>
      </c>
      <c r="E503" s="46">
        <v>42149</v>
      </c>
      <c r="F503" s="47" t="s">
        <v>216</v>
      </c>
      <c r="G503" t="str" cm="1">
        <f t="array" ref="G503">_xlfn.IFS(C502&lt;=1000,"LOW",C502&lt;=2500,"MEDIUM",C502&gt;2500,"HIGH")</f>
        <v>HIGH</v>
      </c>
    </row>
    <row r="504" spans="1:7" x14ac:dyDescent="0.3">
      <c r="A504" s="44" t="s">
        <v>223</v>
      </c>
      <c r="B504" s="45" t="s">
        <v>311</v>
      </c>
      <c r="C504" s="45">
        <v>2514</v>
      </c>
      <c r="D504" s="45" t="s">
        <v>254</v>
      </c>
      <c r="E504" s="46">
        <v>41746</v>
      </c>
      <c r="F504" s="47" t="s">
        <v>216</v>
      </c>
      <c r="G504" t="str" cm="1">
        <f t="array" ref="G504">_xlfn.IFS(C503&lt;=1000,"LOW",C503&lt;=2500,"MEDIUM",C503&gt;2500,"HIGH")</f>
        <v>HIGH</v>
      </c>
    </row>
    <row r="505" spans="1:7" x14ac:dyDescent="0.3">
      <c r="A505" s="44" t="s">
        <v>223</v>
      </c>
      <c r="B505" s="45" t="s">
        <v>276</v>
      </c>
      <c r="C505" s="45">
        <v>2522</v>
      </c>
      <c r="D505" s="45" t="s">
        <v>225</v>
      </c>
      <c r="E505" s="46">
        <v>41814</v>
      </c>
      <c r="F505" s="47" t="s">
        <v>216</v>
      </c>
      <c r="G505" t="str" cm="1">
        <f t="array" ref="G505">_xlfn.IFS(C504&lt;=1000,"LOW",C504&lt;=2500,"MEDIUM",C504&gt;2500,"HIGH")</f>
        <v>HIGH</v>
      </c>
    </row>
    <row r="506" spans="1:7" x14ac:dyDescent="0.3">
      <c r="A506" s="44" t="s">
        <v>236</v>
      </c>
      <c r="B506" s="45" t="s">
        <v>298</v>
      </c>
      <c r="C506" s="45">
        <v>2524</v>
      </c>
      <c r="D506" s="45" t="s">
        <v>225</v>
      </c>
      <c r="E506" s="46">
        <v>41781</v>
      </c>
      <c r="F506" s="47" t="s">
        <v>216</v>
      </c>
      <c r="G506" t="str" cm="1">
        <f t="array" ref="G506">_xlfn.IFS(C505&lt;=1000,"LOW",C505&lt;=2500,"MEDIUM",C505&gt;2500,"HIGH")</f>
        <v>HIGH</v>
      </c>
    </row>
    <row r="507" spans="1:7" x14ac:dyDescent="0.3">
      <c r="A507" s="44" t="s">
        <v>233</v>
      </c>
      <c r="B507" s="45" t="s">
        <v>281</v>
      </c>
      <c r="C507" s="45">
        <v>2527</v>
      </c>
      <c r="D507" s="45" t="s">
        <v>254</v>
      </c>
      <c r="E507" s="46">
        <v>41916</v>
      </c>
      <c r="F507" s="47" t="s">
        <v>221</v>
      </c>
      <c r="G507" t="str" cm="1">
        <f t="array" ref="G507">_xlfn.IFS(C506&lt;=1000,"LOW",C506&lt;=2500,"MEDIUM",C506&gt;2500,"HIGH")</f>
        <v>HIGH</v>
      </c>
    </row>
    <row r="508" spans="1:7" x14ac:dyDescent="0.3">
      <c r="A508" s="44" t="s">
        <v>213</v>
      </c>
      <c r="B508" s="45" t="s">
        <v>299</v>
      </c>
      <c r="C508" s="45">
        <v>2528</v>
      </c>
      <c r="D508" s="45" t="s">
        <v>220</v>
      </c>
      <c r="E508" s="46">
        <v>42192</v>
      </c>
      <c r="F508" s="47" t="s">
        <v>228</v>
      </c>
      <c r="G508" t="str" cm="1">
        <f t="array" ref="G508">_xlfn.IFS(C507&lt;=1000,"LOW",C507&lt;=2500,"MEDIUM",C507&gt;2500,"HIGH")</f>
        <v>HIGH</v>
      </c>
    </row>
    <row r="509" spans="1:7" x14ac:dyDescent="0.3">
      <c r="A509" s="44" t="s">
        <v>239</v>
      </c>
      <c r="B509" s="45" t="s">
        <v>243</v>
      </c>
      <c r="C509" s="45">
        <v>2529</v>
      </c>
      <c r="D509" s="45" t="s">
        <v>211</v>
      </c>
      <c r="E509" s="46">
        <v>42137</v>
      </c>
      <c r="F509" s="47" t="s">
        <v>216</v>
      </c>
      <c r="G509" t="str" cm="1">
        <f t="array" ref="G509">_xlfn.IFS(C508&lt;=1000,"LOW",C508&lt;=2500,"MEDIUM",C508&gt;2500,"HIGH")</f>
        <v>HIGH</v>
      </c>
    </row>
    <row r="510" spans="1:7" x14ac:dyDescent="0.3">
      <c r="A510" s="44" t="s">
        <v>231</v>
      </c>
      <c r="B510" s="45" t="s">
        <v>257</v>
      </c>
      <c r="C510" s="45">
        <v>2532</v>
      </c>
      <c r="D510" s="45" t="s">
        <v>218</v>
      </c>
      <c r="E510" s="46">
        <v>41901</v>
      </c>
      <c r="F510" s="47" t="s">
        <v>228</v>
      </c>
      <c r="G510" t="str" cm="1">
        <f t="array" ref="G510">_xlfn.IFS(C509&lt;=1000,"LOW",C509&lt;=2500,"MEDIUM",C509&gt;2500,"HIGH")</f>
        <v>HIGH</v>
      </c>
    </row>
    <row r="511" spans="1:7" x14ac:dyDescent="0.3">
      <c r="A511" s="44" t="s">
        <v>239</v>
      </c>
      <c r="B511" s="45" t="s">
        <v>240</v>
      </c>
      <c r="C511" s="45">
        <v>2533</v>
      </c>
      <c r="D511" s="45" t="s">
        <v>220</v>
      </c>
      <c r="E511" s="46">
        <v>41776</v>
      </c>
      <c r="F511" s="47" t="s">
        <v>216</v>
      </c>
      <c r="G511" t="str" cm="1">
        <f t="array" ref="G511">_xlfn.IFS(C510&lt;=1000,"LOW",C510&lt;=2500,"MEDIUM",C510&gt;2500,"HIGH")</f>
        <v>HIGH</v>
      </c>
    </row>
    <row r="512" spans="1:7" x14ac:dyDescent="0.3">
      <c r="A512" s="44" t="s">
        <v>236</v>
      </c>
      <c r="B512" s="45" t="s">
        <v>291</v>
      </c>
      <c r="C512" s="45">
        <v>2544</v>
      </c>
      <c r="D512" s="45" t="s">
        <v>235</v>
      </c>
      <c r="E512" s="46">
        <v>42362</v>
      </c>
      <c r="F512" s="47" t="s">
        <v>221</v>
      </c>
      <c r="G512" t="str" cm="1">
        <f t="array" ref="G512">_xlfn.IFS(C511&lt;=1000,"LOW",C511&lt;=2500,"MEDIUM",C511&gt;2500,"HIGH")</f>
        <v>HIGH</v>
      </c>
    </row>
    <row r="513" spans="1:7" x14ac:dyDescent="0.3">
      <c r="A513" s="44" t="s">
        <v>213</v>
      </c>
      <c r="B513" s="45" t="s">
        <v>229</v>
      </c>
      <c r="C513" s="45">
        <v>2549</v>
      </c>
      <c r="D513" s="45" t="s">
        <v>218</v>
      </c>
      <c r="E513" s="46">
        <v>42356</v>
      </c>
      <c r="F513" s="47" t="s">
        <v>221</v>
      </c>
      <c r="G513" t="str" cm="1">
        <f t="array" ref="G513">_xlfn.IFS(C512&lt;=1000,"LOW",C512&lt;=2500,"MEDIUM",C512&gt;2500,"HIGH")</f>
        <v>HIGH</v>
      </c>
    </row>
    <row r="514" spans="1:7" x14ac:dyDescent="0.3">
      <c r="A514" s="44" t="s">
        <v>209</v>
      </c>
      <c r="B514" s="45" t="s">
        <v>210</v>
      </c>
      <c r="C514" s="45">
        <v>2552</v>
      </c>
      <c r="D514" s="45" t="s">
        <v>225</v>
      </c>
      <c r="E514" s="46">
        <v>42278</v>
      </c>
      <c r="F514" s="47" t="s">
        <v>221</v>
      </c>
      <c r="G514" t="str" cm="1">
        <f t="array" ref="G514">_xlfn.IFS(C513&lt;=1000,"LOW",C513&lt;=2500,"MEDIUM",C513&gt;2500,"HIGH")</f>
        <v>HIGH</v>
      </c>
    </row>
    <row r="515" spans="1:7" x14ac:dyDescent="0.3">
      <c r="A515" s="44" t="s">
        <v>209</v>
      </c>
      <c r="B515" s="45" t="s">
        <v>210</v>
      </c>
      <c r="C515" s="45">
        <v>2556</v>
      </c>
      <c r="D515" s="45" t="s">
        <v>218</v>
      </c>
      <c r="E515" s="46">
        <v>42150</v>
      </c>
      <c r="F515" s="47" t="s">
        <v>216</v>
      </c>
      <c r="G515" t="str" cm="1">
        <f t="array" ref="G515">_xlfn.IFS(C514&lt;=1000,"LOW",C514&lt;=2500,"MEDIUM",C514&gt;2500,"HIGH")</f>
        <v>HIGH</v>
      </c>
    </row>
    <row r="516" spans="1:7" x14ac:dyDescent="0.3">
      <c r="A516" s="44" t="s">
        <v>233</v>
      </c>
      <c r="B516" s="45" t="s">
        <v>250</v>
      </c>
      <c r="C516" s="45">
        <v>2558</v>
      </c>
      <c r="D516" s="45" t="s">
        <v>222</v>
      </c>
      <c r="E516" s="46">
        <v>41796</v>
      </c>
      <c r="F516" s="47" t="s">
        <v>216</v>
      </c>
      <c r="G516" t="str" cm="1">
        <f t="array" ref="G516">_xlfn.IFS(C515&lt;=1000,"LOW",C515&lt;=2500,"MEDIUM",C515&gt;2500,"HIGH")</f>
        <v>HIGH</v>
      </c>
    </row>
    <row r="517" spans="1:7" x14ac:dyDescent="0.3">
      <c r="A517" s="44" t="s">
        <v>231</v>
      </c>
      <c r="B517" s="45" t="s">
        <v>275</v>
      </c>
      <c r="C517" s="45">
        <v>2563</v>
      </c>
      <c r="D517" s="45" t="s">
        <v>218</v>
      </c>
      <c r="E517" s="46">
        <v>42271</v>
      </c>
      <c r="F517" s="47" t="s">
        <v>228</v>
      </c>
      <c r="G517" t="str" cm="1">
        <f t="array" ref="G517">_xlfn.IFS(C516&lt;=1000,"LOW",C516&lt;=2500,"MEDIUM",C516&gt;2500,"HIGH")</f>
        <v>HIGH</v>
      </c>
    </row>
    <row r="518" spans="1:7" x14ac:dyDescent="0.3">
      <c r="A518" s="44" t="s">
        <v>223</v>
      </c>
      <c r="B518" s="45" t="s">
        <v>241</v>
      </c>
      <c r="C518" s="45">
        <v>2566</v>
      </c>
      <c r="D518" s="45" t="s">
        <v>235</v>
      </c>
      <c r="E518" s="46">
        <v>42232</v>
      </c>
      <c r="F518" s="47" t="s">
        <v>228</v>
      </c>
      <c r="G518" t="str" cm="1">
        <f t="array" ref="G518">_xlfn.IFS(C517&lt;=1000,"LOW",C517&lt;=2500,"MEDIUM",C517&gt;2500,"HIGH")</f>
        <v>HIGH</v>
      </c>
    </row>
    <row r="519" spans="1:7" x14ac:dyDescent="0.3">
      <c r="A519" s="44" t="s">
        <v>233</v>
      </c>
      <c r="B519" s="45" t="s">
        <v>255</v>
      </c>
      <c r="C519" s="45">
        <v>2573</v>
      </c>
      <c r="D519" s="45" t="s">
        <v>215</v>
      </c>
      <c r="E519" s="46">
        <v>42134</v>
      </c>
      <c r="F519" s="47" t="s">
        <v>216</v>
      </c>
      <c r="G519" t="str" cm="1">
        <f t="array" ref="G519">_xlfn.IFS(C518&lt;=1000,"LOW",C518&lt;=2500,"MEDIUM",C518&gt;2500,"HIGH")</f>
        <v>HIGH</v>
      </c>
    </row>
    <row r="520" spans="1:7" x14ac:dyDescent="0.3">
      <c r="A520" s="44" t="s">
        <v>233</v>
      </c>
      <c r="B520" s="45" t="s">
        <v>255</v>
      </c>
      <c r="C520" s="45">
        <v>2574</v>
      </c>
      <c r="D520" s="45" t="s">
        <v>220</v>
      </c>
      <c r="E520" s="46">
        <v>41927</v>
      </c>
      <c r="F520" s="47" t="s">
        <v>221</v>
      </c>
      <c r="G520" t="str" cm="1">
        <f t="array" ref="G520">_xlfn.IFS(C519&lt;=1000,"LOW",C519&lt;=2500,"MEDIUM",C519&gt;2500,"HIGH")</f>
        <v>HIGH</v>
      </c>
    </row>
    <row r="521" spans="1:7" x14ac:dyDescent="0.3">
      <c r="A521" s="44" t="s">
        <v>209</v>
      </c>
      <c r="B521" s="45" t="s">
        <v>264</v>
      </c>
      <c r="C521" s="45">
        <v>2578</v>
      </c>
      <c r="D521" s="45" t="s">
        <v>222</v>
      </c>
      <c r="E521" s="46">
        <v>42171</v>
      </c>
      <c r="F521" s="47" t="s">
        <v>216</v>
      </c>
      <c r="G521" t="str" cm="1">
        <f t="array" ref="G521">_xlfn.IFS(C520&lt;=1000,"LOW",C520&lt;=2500,"MEDIUM",C520&gt;2500,"HIGH")</f>
        <v>HIGH</v>
      </c>
    </row>
    <row r="522" spans="1:7" x14ac:dyDescent="0.3">
      <c r="A522" s="44" t="s">
        <v>239</v>
      </c>
      <c r="B522" s="45" t="s">
        <v>272</v>
      </c>
      <c r="C522" s="45">
        <v>2586</v>
      </c>
      <c r="D522" s="45" t="s">
        <v>215</v>
      </c>
      <c r="E522" s="46">
        <v>41951</v>
      </c>
      <c r="F522" s="47" t="s">
        <v>221</v>
      </c>
      <c r="G522" t="str" cm="1">
        <f t="array" ref="G522">_xlfn.IFS(C521&lt;=1000,"LOW",C521&lt;=2500,"MEDIUM",C521&gt;2500,"HIGH")</f>
        <v>HIGH</v>
      </c>
    </row>
    <row r="523" spans="1:7" x14ac:dyDescent="0.3">
      <c r="A523" s="44" t="s">
        <v>233</v>
      </c>
      <c r="B523" s="45" t="s">
        <v>305</v>
      </c>
      <c r="C523" s="45">
        <v>2587</v>
      </c>
      <c r="D523" s="45" t="s">
        <v>230</v>
      </c>
      <c r="E523" s="46">
        <v>42160</v>
      </c>
      <c r="F523" s="47" t="s">
        <v>216</v>
      </c>
      <c r="G523" t="str" cm="1">
        <f t="array" ref="G523">_xlfn.IFS(C522&lt;=1000,"LOW",C522&lt;=2500,"MEDIUM",C522&gt;2500,"HIGH")</f>
        <v>HIGH</v>
      </c>
    </row>
    <row r="524" spans="1:7" x14ac:dyDescent="0.3">
      <c r="A524" s="44" t="s">
        <v>233</v>
      </c>
      <c r="B524" s="45" t="s">
        <v>310</v>
      </c>
      <c r="C524" s="45">
        <v>2589</v>
      </c>
      <c r="D524" s="45" t="s">
        <v>215</v>
      </c>
      <c r="E524" s="46">
        <v>42291</v>
      </c>
      <c r="F524" s="47" t="s">
        <v>221</v>
      </c>
      <c r="G524" t="str" cm="1">
        <f t="array" ref="G524">_xlfn.IFS(C523&lt;=1000,"LOW",C523&lt;=2500,"MEDIUM",C523&gt;2500,"HIGH")</f>
        <v>HIGH</v>
      </c>
    </row>
    <row r="525" spans="1:7" x14ac:dyDescent="0.3">
      <c r="A525" s="44" t="s">
        <v>231</v>
      </c>
      <c r="B525" s="45" t="s">
        <v>232</v>
      </c>
      <c r="C525" s="45">
        <v>2591</v>
      </c>
      <c r="D525" s="45" t="s">
        <v>225</v>
      </c>
      <c r="E525" s="46">
        <v>41740</v>
      </c>
      <c r="F525" s="47" t="s">
        <v>216</v>
      </c>
      <c r="G525" t="str" cm="1">
        <f t="array" ref="G525">_xlfn.IFS(C524&lt;=1000,"LOW",C524&lt;=2500,"MEDIUM",C524&gt;2500,"HIGH")</f>
        <v>HIGH</v>
      </c>
    </row>
    <row r="526" spans="1:7" x14ac:dyDescent="0.3">
      <c r="A526" s="44" t="s">
        <v>236</v>
      </c>
      <c r="B526" s="45" t="s">
        <v>300</v>
      </c>
      <c r="C526" s="45">
        <v>2603</v>
      </c>
      <c r="D526" s="45" t="s">
        <v>254</v>
      </c>
      <c r="E526" s="46">
        <v>42342</v>
      </c>
      <c r="F526" s="47" t="s">
        <v>221</v>
      </c>
      <c r="G526" t="str" cm="1">
        <f t="array" ref="G526">_xlfn.IFS(C525&lt;=1000,"LOW",C525&lt;=2500,"MEDIUM",C525&gt;2500,"HIGH")</f>
        <v>HIGH</v>
      </c>
    </row>
    <row r="527" spans="1:7" x14ac:dyDescent="0.3">
      <c r="A527" s="44" t="s">
        <v>209</v>
      </c>
      <c r="B527" s="45" t="s">
        <v>261</v>
      </c>
      <c r="C527" s="45">
        <v>2604</v>
      </c>
      <c r="D527" s="45" t="s">
        <v>222</v>
      </c>
      <c r="E527" s="46">
        <v>41967</v>
      </c>
      <c r="F527" s="47" t="s">
        <v>221</v>
      </c>
      <c r="G527" t="str" cm="1">
        <f t="array" ref="G527">_xlfn.IFS(C526&lt;=1000,"LOW",C526&lt;=2500,"MEDIUM",C526&gt;2500,"HIGH")</f>
        <v>HIGH</v>
      </c>
    </row>
    <row r="528" spans="1:7" x14ac:dyDescent="0.3">
      <c r="A528" s="44" t="s">
        <v>233</v>
      </c>
      <c r="B528" s="45" t="s">
        <v>252</v>
      </c>
      <c r="C528" s="45">
        <v>2606</v>
      </c>
      <c r="D528" s="45" t="s">
        <v>254</v>
      </c>
      <c r="E528" s="46">
        <v>41782</v>
      </c>
      <c r="F528" s="47" t="s">
        <v>216</v>
      </c>
      <c r="G528" t="str" cm="1">
        <f t="array" ref="G528">_xlfn.IFS(C527&lt;=1000,"LOW",C527&lt;=2500,"MEDIUM",C527&gt;2500,"HIGH")</f>
        <v>HIGH</v>
      </c>
    </row>
    <row r="529" spans="1:7" x14ac:dyDescent="0.3">
      <c r="A529" s="44" t="s">
        <v>213</v>
      </c>
      <c r="B529" s="45" t="s">
        <v>277</v>
      </c>
      <c r="C529" s="45">
        <v>2606</v>
      </c>
      <c r="D529" s="45" t="s">
        <v>220</v>
      </c>
      <c r="E529" s="46">
        <v>41874</v>
      </c>
      <c r="F529" s="47" t="s">
        <v>228</v>
      </c>
      <c r="G529" t="str" cm="1">
        <f t="array" ref="G529">_xlfn.IFS(C528&lt;=1000,"LOW",C528&lt;=2500,"MEDIUM",C528&gt;2500,"HIGH")</f>
        <v>HIGH</v>
      </c>
    </row>
    <row r="530" spans="1:7" x14ac:dyDescent="0.3">
      <c r="A530" s="44" t="s">
        <v>233</v>
      </c>
      <c r="B530" s="45" t="s">
        <v>281</v>
      </c>
      <c r="C530" s="45">
        <v>2612</v>
      </c>
      <c r="D530" s="45" t="s">
        <v>225</v>
      </c>
      <c r="E530" s="46">
        <v>41652</v>
      </c>
      <c r="F530" s="47" t="s">
        <v>212</v>
      </c>
      <c r="G530" t="str" cm="1">
        <f t="array" ref="G530">_xlfn.IFS(C529&lt;=1000,"LOW",C529&lt;=2500,"MEDIUM",C529&gt;2500,"HIGH")</f>
        <v>HIGH</v>
      </c>
    </row>
    <row r="531" spans="1:7" x14ac:dyDescent="0.3">
      <c r="A531" s="44" t="s">
        <v>209</v>
      </c>
      <c r="B531" s="45" t="s">
        <v>210</v>
      </c>
      <c r="C531" s="45">
        <v>2621</v>
      </c>
      <c r="D531" s="45" t="s">
        <v>222</v>
      </c>
      <c r="E531" s="46">
        <v>41923</v>
      </c>
      <c r="F531" s="47" t="s">
        <v>221</v>
      </c>
      <c r="G531" t="str" cm="1">
        <f t="array" ref="G531">_xlfn.IFS(C530&lt;=1000,"LOW",C530&lt;=2500,"MEDIUM",C530&gt;2500,"HIGH")</f>
        <v>HIGH</v>
      </c>
    </row>
    <row r="532" spans="1:7" x14ac:dyDescent="0.3">
      <c r="A532" s="44" t="s">
        <v>209</v>
      </c>
      <c r="B532" s="45" t="s">
        <v>242</v>
      </c>
      <c r="C532" s="45">
        <v>2623</v>
      </c>
      <c r="D532" s="45" t="s">
        <v>211</v>
      </c>
      <c r="E532" s="46">
        <v>42058</v>
      </c>
      <c r="F532" s="47" t="s">
        <v>212</v>
      </c>
      <c r="G532" t="str" cm="1">
        <f t="array" ref="G532">_xlfn.IFS(C531&lt;=1000,"LOW",C531&lt;=2500,"MEDIUM",C531&gt;2500,"HIGH")</f>
        <v>HIGH</v>
      </c>
    </row>
    <row r="533" spans="1:7" x14ac:dyDescent="0.3">
      <c r="A533" s="44" t="s">
        <v>236</v>
      </c>
      <c r="B533" s="45" t="s">
        <v>291</v>
      </c>
      <c r="C533" s="45">
        <v>2626</v>
      </c>
      <c r="D533" s="45" t="s">
        <v>245</v>
      </c>
      <c r="E533" s="46">
        <v>42208</v>
      </c>
      <c r="F533" s="47" t="s">
        <v>228</v>
      </c>
      <c r="G533" t="str" cm="1">
        <f t="array" ref="G533">_xlfn.IFS(C532&lt;=1000,"LOW",C532&lt;=2500,"MEDIUM",C532&gt;2500,"HIGH")</f>
        <v>HIGH</v>
      </c>
    </row>
    <row r="534" spans="1:7" x14ac:dyDescent="0.3">
      <c r="A534" s="44" t="s">
        <v>223</v>
      </c>
      <c r="B534" s="45" t="s">
        <v>241</v>
      </c>
      <c r="C534" s="45">
        <v>2629</v>
      </c>
      <c r="D534" s="45" t="s">
        <v>225</v>
      </c>
      <c r="E534" s="46">
        <v>41679</v>
      </c>
      <c r="F534" s="47" t="s">
        <v>212</v>
      </c>
      <c r="G534" t="str" cm="1">
        <f t="array" ref="G534">_xlfn.IFS(C533&lt;=1000,"LOW",C533&lt;=2500,"MEDIUM",C533&gt;2500,"HIGH")</f>
        <v>HIGH</v>
      </c>
    </row>
    <row r="535" spans="1:7" x14ac:dyDescent="0.3">
      <c r="A535" s="44" t="s">
        <v>223</v>
      </c>
      <c r="B535" s="45" t="s">
        <v>293</v>
      </c>
      <c r="C535" s="45">
        <v>2632</v>
      </c>
      <c r="D535" s="45" t="s">
        <v>254</v>
      </c>
      <c r="E535" s="46">
        <v>41971</v>
      </c>
      <c r="F535" s="47" t="s">
        <v>221</v>
      </c>
      <c r="G535" t="str" cm="1">
        <f t="array" ref="G535">_xlfn.IFS(C534&lt;=1000,"LOW",C534&lt;=2500,"MEDIUM",C534&gt;2500,"HIGH")</f>
        <v>HIGH</v>
      </c>
    </row>
    <row r="536" spans="1:7" x14ac:dyDescent="0.3">
      <c r="A536" s="44" t="s">
        <v>223</v>
      </c>
      <c r="B536" s="45" t="s">
        <v>273</v>
      </c>
      <c r="C536" s="45">
        <v>2632</v>
      </c>
      <c r="D536" s="45" t="s">
        <v>218</v>
      </c>
      <c r="E536" s="46">
        <v>42339</v>
      </c>
      <c r="F536" s="47" t="s">
        <v>221</v>
      </c>
      <c r="G536" t="str" cm="1">
        <f t="array" ref="G536">_xlfn.IFS(C535&lt;=1000,"LOW",C535&lt;=2500,"MEDIUM",C535&gt;2500,"HIGH")</f>
        <v>HIGH</v>
      </c>
    </row>
    <row r="537" spans="1:7" x14ac:dyDescent="0.3">
      <c r="A537" s="44" t="s">
        <v>223</v>
      </c>
      <c r="B537" s="45" t="s">
        <v>290</v>
      </c>
      <c r="C537" s="45">
        <v>2633</v>
      </c>
      <c r="D537" s="45" t="s">
        <v>222</v>
      </c>
      <c r="E537" s="46">
        <v>42137</v>
      </c>
      <c r="F537" s="47" t="s">
        <v>216</v>
      </c>
      <c r="G537" t="str" cm="1">
        <f t="array" ref="G537">_xlfn.IFS(C536&lt;=1000,"LOW",C536&lt;=2500,"MEDIUM",C536&gt;2500,"HIGH")</f>
        <v>HIGH</v>
      </c>
    </row>
    <row r="538" spans="1:7" x14ac:dyDescent="0.3">
      <c r="A538" s="44" t="s">
        <v>209</v>
      </c>
      <c r="B538" s="45" t="s">
        <v>297</v>
      </c>
      <c r="C538" s="45">
        <v>2638</v>
      </c>
      <c r="D538" s="45" t="s">
        <v>222</v>
      </c>
      <c r="E538" s="46">
        <v>41765</v>
      </c>
      <c r="F538" s="47" t="s">
        <v>216</v>
      </c>
      <c r="G538" t="str" cm="1">
        <f t="array" ref="G538">_xlfn.IFS(C537&lt;=1000,"LOW",C537&lt;=2500,"MEDIUM",C537&gt;2500,"HIGH")</f>
        <v>HIGH</v>
      </c>
    </row>
    <row r="539" spans="1:7" x14ac:dyDescent="0.3">
      <c r="A539" s="44" t="s">
        <v>236</v>
      </c>
      <c r="B539" s="45" t="s">
        <v>286</v>
      </c>
      <c r="C539" s="45">
        <v>2644</v>
      </c>
      <c r="D539" s="45" t="s">
        <v>245</v>
      </c>
      <c r="E539" s="46">
        <v>42166</v>
      </c>
      <c r="F539" s="47" t="s">
        <v>216</v>
      </c>
      <c r="G539" t="str" cm="1">
        <f t="array" ref="G539">_xlfn.IFS(C538&lt;=1000,"LOW",C538&lt;=2500,"MEDIUM",C538&gt;2500,"HIGH")</f>
        <v>HIGH</v>
      </c>
    </row>
    <row r="540" spans="1:7" x14ac:dyDescent="0.3">
      <c r="A540" s="44" t="s">
        <v>213</v>
      </c>
      <c r="B540" s="45" t="s">
        <v>278</v>
      </c>
      <c r="C540" s="45">
        <v>2645</v>
      </c>
      <c r="D540" s="45" t="s">
        <v>245</v>
      </c>
      <c r="E540" s="46">
        <v>41907</v>
      </c>
      <c r="F540" s="47" t="s">
        <v>228</v>
      </c>
      <c r="G540" t="str" cm="1">
        <f t="array" ref="G540">_xlfn.IFS(C539&lt;=1000,"LOW",C539&lt;=2500,"MEDIUM",C539&gt;2500,"HIGH")</f>
        <v>HIGH</v>
      </c>
    </row>
    <row r="541" spans="1:7" x14ac:dyDescent="0.3">
      <c r="A541" s="44" t="s">
        <v>246</v>
      </c>
      <c r="B541" s="45" t="s">
        <v>301</v>
      </c>
      <c r="C541" s="45">
        <v>2648</v>
      </c>
      <c r="D541" s="45" t="s">
        <v>245</v>
      </c>
      <c r="E541" s="46">
        <v>41998</v>
      </c>
      <c r="F541" s="47" t="s">
        <v>221</v>
      </c>
      <c r="G541" t="str" cm="1">
        <f t="array" ref="G541">_xlfn.IFS(C540&lt;=1000,"LOW",C540&lt;=2500,"MEDIUM",C540&gt;2500,"HIGH")</f>
        <v>HIGH</v>
      </c>
    </row>
    <row r="542" spans="1:7" x14ac:dyDescent="0.3">
      <c r="A542" s="44" t="s">
        <v>233</v>
      </c>
      <c r="B542" s="45" t="s">
        <v>255</v>
      </c>
      <c r="C542" s="45">
        <v>2650</v>
      </c>
      <c r="D542" s="45" t="s">
        <v>222</v>
      </c>
      <c r="E542" s="46">
        <v>41869</v>
      </c>
      <c r="F542" s="47" t="s">
        <v>228</v>
      </c>
      <c r="G542" t="str" cm="1">
        <f t="array" ref="G542">_xlfn.IFS(C541&lt;=1000,"LOW",C541&lt;=2500,"MEDIUM",C541&gt;2500,"HIGH")</f>
        <v>HIGH</v>
      </c>
    </row>
    <row r="543" spans="1:7" x14ac:dyDescent="0.3">
      <c r="A543" s="44" t="s">
        <v>239</v>
      </c>
      <c r="B543" s="45" t="s">
        <v>267</v>
      </c>
      <c r="C543" s="45">
        <v>2652</v>
      </c>
      <c r="D543" s="45" t="s">
        <v>254</v>
      </c>
      <c r="E543" s="46">
        <v>42017</v>
      </c>
      <c r="F543" s="47" t="s">
        <v>212</v>
      </c>
      <c r="G543" t="str" cm="1">
        <f t="array" ref="G543">_xlfn.IFS(C542&lt;=1000,"LOW",C542&lt;=2500,"MEDIUM",C542&gt;2500,"HIGH")</f>
        <v>HIGH</v>
      </c>
    </row>
    <row r="544" spans="1:7" x14ac:dyDescent="0.3">
      <c r="A544" s="44" t="s">
        <v>209</v>
      </c>
      <c r="B544" s="45" t="s">
        <v>226</v>
      </c>
      <c r="C544" s="45">
        <v>2652</v>
      </c>
      <c r="D544" s="45" t="s">
        <v>215</v>
      </c>
      <c r="E544" s="46">
        <v>41766</v>
      </c>
      <c r="F544" s="47" t="s">
        <v>216</v>
      </c>
      <c r="G544" t="str" cm="1">
        <f t="array" ref="G544">_xlfn.IFS(C543&lt;=1000,"LOW",C543&lt;=2500,"MEDIUM",C543&gt;2500,"HIGH")</f>
        <v>HIGH</v>
      </c>
    </row>
    <row r="545" spans="1:7" x14ac:dyDescent="0.3">
      <c r="A545" s="44" t="s">
        <v>231</v>
      </c>
      <c r="B545" s="45" t="s">
        <v>306</v>
      </c>
      <c r="C545" s="45">
        <v>2670</v>
      </c>
      <c r="D545" s="45" t="s">
        <v>215</v>
      </c>
      <c r="E545" s="46">
        <v>41810</v>
      </c>
      <c r="F545" s="47" t="s">
        <v>216</v>
      </c>
      <c r="G545" t="str" cm="1">
        <f t="array" ref="G545">_xlfn.IFS(C544&lt;=1000,"LOW",C544&lt;=2500,"MEDIUM",C544&gt;2500,"HIGH")</f>
        <v>HIGH</v>
      </c>
    </row>
    <row r="546" spans="1:7" x14ac:dyDescent="0.3">
      <c r="A546" s="44" t="s">
        <v>213</v>
      </c>
      <c r="B546" s="45" t="s">
        <v>256</v>
      </c>
      <c r="C546" s="45">
        <v>2674</v>
      </c>
      <c r="D546" s="45" t="s">
        <v>222</v>
      </c>
      <c r="E546" s="46">
        <v>41665</v>
      </c>
      <c r="F546" s="47" t="s">
        <v>212</v>
      </c>
      <c r="G546" t="str" cm="1">
        <f t="array" ref="G546">_xlfn.IFS(C545&lt;=1000,"LOW",C545&lt;=2500,"MEDIUM",C545&gt;2500,"HIGH")</f>
        <v>HIGH</v>
      </c>
    </row>
    <row r="547" spans="1:7" x14ac:dyDescent="0.3">
      <c r="A547" s="44" t="s">
        <v>233</v>
      </c>
      <c r="B547" s="45" t="s">
        <v>252</v>
      </c>
      <c r="C547" s="45">
        <v>2675</v>
      </c>
      <c r="D547" s="45" t="s">
        <v>235</v>
      </c>
      <c r="E547" s="46">
        <v>42043</v>
      </c>
      <c r="F547" s="47" t="s">
        <v>212</v>
      </c>
      <c r="G547" t="str" cm="1">
        <f t="array" ref="G547">_xlfn.IFS(C546&lt;=1000,"LOW",C546&lt;=2500,"MEDIUM",C546&gt;2500,"HIGH")</f>
        <v>HIGH</v>
      </c>
    </row>
    <row r="548" spans="1:7" x14ac:dyDescent="0.3">
      <c r="A548" s="44" t="s">
        <v>233</v>
      </c>
      <c r="B548" s="45" t="s">
        <v>252</v>
      </c>
      <c r="C548" s="45">
        <v>2685</v>
      </c>
      <c r="D548" s="45" t="s">
        <v>235</v>
      </c>
      <c r="E548" s="46">
        <v>42213</v>
      </c>
      <c r="F548" s="47" t="s">
        <v>228</v>
      </c>
      <c r="G548" t="str" cm="1">
        <f t="array" ref="G548">_xlfn.IFS(C547&lt;=1000,"LOW",C547&lt;=2500,"MEDIUM",C547&gt;2500,"HIGH")</f>
        <v>HIGH</v>
      </c>
    </row>
    <row r="549" spans="1:7" x14ac:dyDescent="0.3">
      <c r="A549" s="44" t="s">
        <v>223</v>
      </c>
      <c r="B549" s="45" t="s">
        <v>311</v>
      </c>
      <c r="C549" s="45">
        <v>2688</v>
      </c>
      <c r="D549" s="45" t="s">
        <v>245</v>
      </c>
      <c r="E549" s="46">
        <v>42202</v>
      </c>
      <c r="F549" s="47" t="s">
        <v>228</v>
      </c>
      <c r="G549" t="str" cm="1">
        <f t="array" ref="G549">_xlfn.IFS(C548&lt;=1000,"LOW",C548&lt;=2500,"MEDIUM",C548&gt;2500,"HIGH")</f>
        <v>HIGH</v>
      </c>
    </row>
    <row r="550" spans="1:7" x14ac:dyDescent="0.3">
      <c r="A550" s="44" t="s">
        <v>209</v>
      </c>
      <c r="B550" s="45" t="s">
        <v>297</v>
      </c>
      <c r="C550" s="45">
        <v>2689</v>
      </c>
      <c r="D550" s="45" t="s">
        <v>254</v>
      </c>
      <c r="E550" s="46">
        <v>42196</v>
      </c>
      <c r="F550" s="47" t="s">
        <v>228</v>
      </c>
      <c r="G550" t="str" cm="1">
        <f t="array" ref="G550">_xlfn.IFS(C549&lt;=1000,"LOW",C549&lt;=2500,"MEDIUM",C549&gt;2500,"HIGH")</f>
        <v>HIGH</v>
      </c>
    </row>
    <row r="551" spans="1:7" x14ac:dyDescent="0.3">
      <c r="A551" s="44" t="s">
        <v>209</v>
      </c>
      <c r="B551" s="45" t="s">
        <v>307</v>
      </c>
      <c r="C551" s="45">
        <v>2691</v>
      </c>
      <c r="D551" s="45" t="s">
        <v>254</v>
      </c>
      <c r="E551" s="46">
        <v>42165</v>
      </c>
      <c r="F551" s="47" t="s">
        <v>216</v>
      </c>
      <c r="G551" t="str" cm="1">
        <f t="array" ref="G551">_xlfn.IFS(C550&lt;=1000,"LOW",C550&lt;=2500,"MEDIUM",C550&gt;2500,"HIGH")</f>
        <v>HIGH</v>
      </c>
    </row>
    <row r="552" spans="1:7" x14ac:dyDescent="0.3">
      <c r="A552" s="44" t="s">
        <v>233</v>
      </c>
      <c r="B552" s="45" t="s">
        <v>285</v>
      </c>
      <c r="C552" s="45">
        <v>2691</v>
      </c>
      <c r="D552" s="45" t="s">
        <v>220</v>
      </c>
      <c r="E552" s="46">
        <v>41950</v>
      </c>
      <c r="F552" s="47" t="s">
        <v>221</v>
      </c>
      <c r="G552" t="str" cm="1">
        <f t="array" ref="G552">_xlfn.IFS(C551&lt;=1000,"LOW",C551&lt;=2500,"MEDIUM",C551&gt;2500,"HIGH")</f>
        <v>HIGH</v>
      </c>
    </row>
    <row r="553" spans="1:7" x14ac:dyDescent="0.3">
      <c r="A553" s="44" t="s">
        <v>236</v>
      </c>
      <c r="B553" s="45" t="s">
        <v>286</v>
      </c>
      <c r="C553" s="45">
        <v>2700</v>
      </c>
      <c r="D553" s="45" t="s">
        <v>230</v>
      </c>
      <c r="E553" s="46">
        <v>41925</v>
      </c>
      <c r="F553" s="47" t="s">
        <v>221</v>
      </c>
      <c r="G553" t="str" cm="1">
        <f t="array" ref="G553">_xlfn.IFS(C552&lt;=1000,"LOW",C552&lt;=2500,"MEDIUM",C552&gt;2500,"HIGH")</f>
        <v>HIGH</v>
      </c>
    </row>
    <row r="554" spans="1:7" x14ac:dyDescent="0.3">
      <c r="A554" s="44" t="s">
        <v>231</v>
      </c>
      <c r="B554" s="45" t="s">
        <v>279</v>
      </c>
      <c r="C554" s="45">
        <v>2702</v>
      </c>
      <c r="D554" s="45" t="s">
        <v>235</v>
      </c>
      <c r="E554" s="46">
        <v>41890</v>
      </c>
      <c r="F554" s="47" t="s">
        <v>228</v>
      </c>
      <c r="G554" t="str" cm="1">
        <f t="array" ref="G554">_xlfn.IFS(C553&lt;=1000,"LOW",C553&lt;=2500,"MEDIUM",C553&gt;2500,"HIGH")</f>
        <v>HIGH</v>
      </c>
    </row>
    <row r="555" spans="1:7" x14ac:dyDescent="0.3">
      <c r="A555" s="44" t="s">
        <v>236</v>
      </c>
      <c r="B555" s="45" t="s">
        <v>294</v>
      </c>
      <c r="C555" s="45">
        <v>2702</v>
      </c>
      <c r="D555" s="45" t="s">
        <v>254</v>
      </c>
      <c r="E555" s="46">
        <v>41951</v>
      </c>
      <c r="F555" s="47" t="s">
        <v>221</v>
      </c>
      <c r="G555" t="str" cm="1">
        <f t="array" ref="G555">_xlfn.IFS(C554&lt;=1000,"LOW",C554&lt;=2500,"MEDIUM",C554&gt;2500,"HIGH")</f>
        <v>HIGH</v>
      </c>
    </row>
    <row r="556" spans="1:7" x14ac:dyDescent="0.3">
      <c r="A556" s="44" t="s">
        <v>231</v>
      </c>
      <c r="B556" s="45" t="s">
        <v>306</v>
      </c>
      <c r="C556" s="45">
        <v>2705</v>
      </c>
      <c r="D556" s="45" t="s">
        <v>218</v>
      </c>
      <c r="E556" s="46">
        <v>42121</v>
      </c>
      <c r="F556" s="47" t="s">
        <v>216</v>
      </c>
      <c r="G556" t="str" cm="1">
        <f t="array" ref="G556">_xlfn.IFS(C555&lt;=1000,"LOW",C555&lt;=2500,"MEDIUM",C555&gt;2500,"HIGH")</f>
        <v>HIGH</v>
      </c>
    </row>
    <row r="557" spans="1:7" x14ac:dyDescent="0.3">
      <c r="A557" s="44" t="s">
        <v>231</v>
      </c>
      <c r="B557" s="45" t="s">
        <v>306</v>
      </c>
      <c r="C557" s="45">
        <v>2709</v>
      </c>
      <c r="D557" s="45" t="s">
        <v>230</v>
      </c>
      <c r="E557" s="46">
        <v>42339</v>
      </c>
      <c r="F557" s="47" t="s">
        <v>221</v>
      </c>
      <c r="G557" t="str" cm="1">
        <f t="array" ref="G557">_xlfn.IFS(C556&lt;=1000,"LOW",C556&lt;=2500,"MEDIUM",C556&gt;2500,"HIGH")</f>
        <v>HIGH</v>
      </c>
    </row>
    <row r="558" spans="1:7" x14ac:dyDescent="0.3">
      <c r="A558" s="44" t="s">
        <v>213</v>
      </c>
      <c r="B558" s="45" t="s">
        <v>266</v>
      </c>
      <c r="C558" s="45">
        <v>2710</v>
      </c>
      <c r="D558" s="45" t="s">
        <v>222</v>
      </c>
      <c r="E558" s="46">
        <v>41823</v>
      </c>
      <c r="F558" s="47" t="s">
        <v>228</v>
      </c>
      <c r="G558" t="str" cm="1">
        <f t="array" ref="G558">_xlfn.IFS(C557&lt;=1000,"LOW",C557&lt;=2500,"MEDIUM",C557&gt;2500,"HIGH")</f>
        <v>HIGH</v>
      </c>
    </row>
    <row r="559" spans="1:7" x14ac:dyDescent="0.3">
      <c r="A559" s="44" t="s">
        <v>209</v>
      </c>
      <c r="B559" s="45" t="s">
        <v>297</v>
      </c>
      <c r="C559" s="45">
        <v>2721</v>
      </c>
      <c r="D559" s="45" t="s">
        <v>222</v>
      </c>
      <c r="E559" s="46">
        <v>42266</v>
      </c>
      <c r="F559" s="47" t="s">
        <v>228</v>
      </c>
      <c r="G559" t="str" cm="1">
        <f t="array" ref="G559">_xlfn.IFS(C558&lt;=1000,"LOW",C558&lt;=2500,"MEDIUM",C558&gt;2500,"HIGH")</f>
        <v>HIGH</v>
      </c>
    </row>
    <row r="560" spans="1:7" x14ac:dyDescent="0.3">
      <c r="A560" s="44" t="s">
        <v>223</v>
      </c>
      <c r="B560" s="45" t="s">
        <v>304</v>
      </c>
      <c r="C560" s="45">
        <v>2723</v>
      </c>
      <c r="D560" s="45" t="s">
        <v>245</v>
      </c>
      <c r="E560" s="46">
        <v>41718</v>
      </c>
      <c r="F560" s="47" t="s">
        <v>212</v>
      </c>
      <c r="G560" t="str" cm="1">
        <f t="array" ref="G560">_xlfn.IFS(C559&lt;=1000,"LOW",C559&lt;=2500,"MEDIUM",C559&gt;2500,"HIGH")</f>
        <v>HIGH</v>
      </c>
    </row>
    <row r="561" spans="1:7" x14ac:dyDescent="0.3">
      <c r="A561" s="44" t="s">
        <v>209</v>
      </c>
      <c r="B561" s="45" t="s">
        <v>307</v>
      </c>
      <c r="C561" s="45">
        <v>2734</v>
      </c>
      <c r="D561" s="45" t="s">
        <v>220</v>
      </c>
      <c r="E561" s="46">
        <v>41782</v>
      </c>
      <c r="F561" s="47" t="s">
        <v>216</v>
      </c>
      <c r="G561" t="str" cm="1">
        <f t="array" ref="G561">_xlfn.IFS(C560&lt;=1000,"LOW",C560&lt;=2500,"MEDIUM",C560&gt;2500,"HIGH")</f>
        <v>HIGH</v>
      </c>
    </row>
    <row r="562" spans="1:7" x14ac:dyDescent="0.3">
      <c r="A562" s="44" t="s">
        <v>246</v>
      </c>
      <c r="B562" s="45" t="s">
        <v>262</v>
      </c>
      <c r="C562" s="45">
        <v>2738</v>
      </c>
      <c r="D562" s="45" t="s">
        <v>230</v>
      </c>
      <c r="E562" s="46">
        <v>42039</v>
      </c>
      <c r="F562" s="47" t="s">
        <v>212</v>
      </c>
      <c r="G562" t="str" cm="1">
        <f t="array" ref="G562">_xlfn.IFS(C561&lt;=1000,"LOW",C561&lt;=2500,"MEDIUM",C561&gt;2500,"HIGH")</f>
        <v>HIGH</v>
      </c>
    </row>
    <row r="563" spans="1:7" x14ac:dyDescent="0.3">
      <c r="A563" s="44" t="s">
        <v>209</v>
      </c>
      <c r="B563" s="45" t="s">
        <v>210</v>
      </c>
      <c r="C563" s="45">
        <v>2740</v>
      </c>
      <c r="D563" s="45" t="s">
        <v>218</v>
      </c>
      <c r="E563" s="46">
        <v>41966</v>
      </c>
      <c r="F563" s="47" t="s">
        <v>221</v>
      </c>
      <c r="G563" t="str" cm="1">
        <f t="array" ref="G563">_xlfn.IFS(C562&lt;=1000,"LOW",C562&lt;=2500,"MEDIUM",C562&gt;2500,"HIGH")</f>
        <v>HIGH</v>
      </c>
    </row>
    <row r="564" spans="1:7" x14ac:dyDescent="0.3">
      <c r="A564" s="44" t="s">
        <v>213</v>
      </c>
      <c r="B564" s="45" t="s">
        <v>217</v>
      </c>
      <c r="C564" s="45">
        <v>2740</v>
      </c>
      <c r="D564" s="45" t="s">
        <v>230</v>
      </c>
      <c r="E564" s="46">
        <v>42291</v>
      </c>
      <c r="F564" s="47" t="s">
        <v>221</v>
      </c>
      <c r="G564" t="str" cm="1">
        <f t="array" ref="G564">_xlfn.IFS(C563&lt;=1000,"LOW",C563&lt;=2500,"MEDIUM",C563&gt;2500,"HIGH")</f>
        <v>HIGH</v>
      </c>
    </row>
    <row r="565" spans="1:7" x14ac:dyDescent="0.3">
      <c r="A565" s="44" t="s">
        <v>246</v>
      </c>
      <c r="B565" s="45" t="s">
        <v>303</v>
      </c>
      <c r="C565" s="45">
        <v>2744</v>
      </c>
      <c r="D565" s="45" t="s">
        <v>254</v>
      </c>
      <c r="E565" s="46">
        <v>41812</v>
      </c>
      <c r="F565" s="47" t="s">
        <v>216</v>
      </c>
      <c r="G565" t="str" cm="1">
        <f t="array" ref="G565">_xlfn.IFS(C564&lt;=1000,"LOW",C564&lt;=2500,"MEDIUM",C564&gt;2500,"HIGH")</f>
        <v>HIGH</v>
      </c>
    </row>
    <row r="566" spans="1:7" x14ac:dyDescent="0.3">
      <c r="A566" s="44" t="s">
        <v>213</v>
      </c>
      <c r="B566" s="45" t="s">
        <v>299</v>
      </c>
      <c r="C566" s="45">
        <v>2748</v>
      </c>
      <c r="D566" s="45" t="s">
        <v>220</v>
      </c>
      <c r="E566" s="46">
        <v>42027</v>
      </c>
      <c r="F566" s="47" t="s">
        <v>212</v>
      </c>
      <c r="G566" t="str" cm="1">
        <f t="array" ref="G566">_xlfn.IFS(C565&lt;=1000,"LOW",C565&lt;=2500,"MEDIUM",C565&gt;2500,"HIGH")</f>
        <v>HIGH</v>
      </c>
    </row>
    <row r="567" spans="1:7" x14ac:dyDescent="0.3">
      <c r="A567" s="44" t="s">
        <v>231</v>
      </c>
      <c r="B567" s="45" t="s">
        <v>232</v>
      </c>
      <c r="C567" s="45">
        <v>2748</v>
      </c>
      <c r="D567" s="45" t="s">
        <v>218</v>
      </c>
      <c r="E567" s="46">
        <v>41838</v>
      </c>
      <c r="F567" s="47" t="s">
        <v>228</v>
      </c>
      <c r="G567" t="str" cm="1">
        <f t="array" ref="G567">_xlfn.IFS(C566&lt;=1000,"LOW",C566&lt;=2500,"MEDIUM",C566&gt;2500,"HIGH")</f>
        <v>HIGH</v>
      </c>
    </row>
    <row r="568" spans="1:7" x14ac:dyDescent="0.3">
      <c r="A568" s="44" t="s">
        <v>239</v>
      </c>
      <c r="B568" s="45" t="s">
        <v>243</v>
      </c>
      <c r="C568" s="45">
        <v>2750</v>
      </c>
      <c r="D568" s="45" t="s">
        <v>254</v>
      </c>
      <c r="E568" s="46">
        <v>41692</v>
      </c>
      <c r="F568" s="47" t="s">
        <v>212</v>
      </c>
      <c r="G568" t="str" cm="1">
        <f t="array" ref="G568">_xlfn.IFS(C567&lt;=1000,"LOW",C567&lt;=2500,"MEDIUM",C567&gt;2500,"HIGH")</f>
        <v>HIGH</v>
      </c>
    </row>
    <row r="569" spans="1:7" x14ac:dyDescent="0.3">
      <c r="A569" s="44" t="s">
        <v>233</v>
      </c>
      <c r="B569" s="45" t="s">
        <v>234</v>
      </c>
      <c r="C569" s="45">
        <v>2752</v>
      </c>
      <c r="D569" s="45" t="s">
        <v>215</v>
      </c>
      <c r="E569" s="46">
        <v>41753</v>
      </c>
      <c r="F569" s="47" t="s">
        <v>216</v>
      </c>
      <c r="G569" t="str" cm="1">
        <f t="array" ref="G569">_xlfn.IFS(C568&lt;=1000,"LOW",C568&lt;=2500,"MEDIUM",C568&gt;2500,"HIGH")</f>
        <v>HIGH</v>
      </c>
    </row>
    <row r="570" spans="1:7" x14ac:dyDescent="0.3">
      <c r="A570" s="44" t="s">
        <v>236</v>
      </c>
      <c r="B570" s="45" t="s">
        <v>298</v>
      </c>
      <c r="C570" s="45">
        <v>2754</v>
      </c>
      <c r="D570" s="45" t="s">
        <v>254</v>
      </c>
      <c r="E570" s="46">
        <v>42219</v>
      </c>
      <c r="F570" s="47" t="s">
        <v>228</v>
      </c>
      <c r="G570" t="str" cm="1">
        <f t="array" ref="G570">_xlfn.IFS(C569&lt;=1000,"LOW",C569&lt;=2500,"MEDIUM",C569&gt;2500,"HIGH")</f>
        <v>HIGH</v>
      </c>
    </row>
    <row r="571" spans="1:7" x14ac:dyDescent="0.3">
      <c r="A571" s="44" t="s">
        <v>236</v>
      </c>
      <c r="B571" s="45" t="s">
        <v>300</v>
      </c>
      <c r="C571" s="45">
        <v>2756</v>
      </c>
      <c r="D571" s="45" t="s">
        <v>245</v>
      </c>
      <c r="E571" s="46">
        <v>42058</v>
      </c>
      <c r="F571" s="47" t="s">
        <v>212</v>
      </c>
      <c r="G571" t="str" cm="1">
        <f t="array" ref="G571">_xlfn.IFS(C570&lt;=1000,"LOW",C570&lt;=2500,"MEDIUM",C570&gt;2500,"HIGH")</f>
        <v>HIGH</v>
      </c>
    </row>
    <row r="572" spans="1:7" x14ac:dyDescent="0.3">
      <c r="A572" s="44" t="s">
        <v>233</v>
      </c>
      <c r="B572" s="45" t="s">
        <v>252</v>
      </c>
      <c r="C572" s="45">
        <v>2759</v>
      </c>
      <c r="D572" s="45" t="s">
        <v>245</v>
      </c>
      <c r="E572" s="46">
        <v>41953</v>
      </c>
      <c r="F572" s="47" t="s">
        <v>221</v>
      </c>
      <c r="G572" t="str" cm="1">
        <f t="array" ref="G572">_xlfn.IFS(C571&lt;=1000,"LOW",C571&lt;=2500,"MEDIUM",C571&gt;2500,"HIGH")</f>
        <v>HIGH</v>
      </c>
    </row>
    <row r="573" spans="1:7" x14ac:dyDescent="0.3">
      <c r="A573" s="44" t="s">
        <v>236</v>
      </c>
      <c r="B573" s="45" t="s">
        <v>296</v>
      </c>
      <c r="C573" s="45">
        <v>2760</v>
      </c>
      <c r="D573" s="45" t="s">
        <v>254</v>
      </c>
      <c r="E573" s="46">
        <v>41732</v>
      </c>
      <c r="F573" s="47" t="s">
        <v>216</v>
      </c>
      <c r="G573" t="str" cm="1">
        <f t="array" ref="G573">_xlfn.IFS(C572&lt;=1000,"LOW",C572&lt;=2500,"MEDIUM",C572&gt;2500,"HIGH")</f>
        <v>HIGH</v>
      </c>
    </row>
    <row r="574" spans="1:7" x14ac:dyDescent="0.3">
      <c r="A574" s="44" t="s">
        <v>239</v>
      </c>
      <c r="B574" s="45" t="s">
        <v>240</v>
      </c>
      <c r="C574" s="45">
        <v>2761</v>
      </c>
      <c r="D574" s="45" t="s">
        <v>220</v>
      </c>
      <c r="E574" s="46">
        <v>42078</v>
      </c>
      <c r="F574" s="47" t="s">
        <v>212</v>
      </c>
      <c r="G574" t="str" cm="1">
        <f t="array" ref="G574">_xlfn.IFS(C573&lt;=1000,"LOW",C573&lt;=2500,"MEDIUM",C573&gt;2500,"HIGH")</f>
        <v>HIGH</v>
      </c>
    </row>
    <row r="575" spans="1:7" x14ac:dyDescent="0.3">
      <c r="A575" s="44" t="s">
        <v>209</v>
      </c>
      <c r="B575" s="45" t="s">
        <v>297</v>
      </c>
      <c r="C575" s="45">
        <v>2761</v>
      </c>
      <c r="D575" s="45" t="s">
        <v>254</v>
      </c>
      <c r="E575" s="46">
        <v>42321</v>
      </c>
      <c r="F575" s="47" t="s">
        <v>221</v>
      </c>
      <c r="G575" t="str" cm="1">
        <f t="array" ref="G575">_xlfn.IFS(C574&lt;=1000,"LOW",C574&lt;=2500,"MEDIUM",C574&gt;2500,"HIGH")</f>
        <v>HIGH</v>
      </c>
    </row>
    <row r="576" spans="1:7" x14ac:dyDescent="0.3">
      <c r="A576" s="44" t="s">
        <v>223</v>
      </c>
      <c r="B576" s="45" t="s">
        <v>290</v>
      </c>
      <c r="C576" s="45">
        <v>2762</v>
      </c>
      <c r="D576" s="45" t="s">
        <v>230</v>
      </c>
      <c r="E576" s="46">
        <v>42241</v>
      </c>
      <c r="F576" s="47" t="s">
        <v>228</v>
      </c>
      <c r="G576" t="str" cm="1">
        <f t="array" ref="G576">_xlfn.IFS(C575&lt;=1000,"LOW",C575&lt;=2500,"MEDIUM",C575&gt;2500,"HIGH")</f>
        <v>HIGH</v>
      </c>
    </row>
    <row r="577" spans="1:7" x14ac:dyDescent="0.3">
      <c r="A577" s="44" t="s">
        <v>223</v>
      </c>
      <c r="B577" s="45" t="s">
        <v>227</v>
      </c>
      <c r="C577" s="45">
        <v>2763</v>
      </c>
      <c r="D577" s="45" t="s">
        <v>225</v>
      </c>
      <c r="E577" s="46">
        <v>41839</v>
      </c>
      <c r="F577" s="47" t="s">
        <v>228</v>
      </c>
      <c r="G577" t="str" cm="1">
        <f t="array" ref="G577">_xlfn.IFS(C576&lt;=1000,"LOW",C576&lt;=2500,"MEDIUM",C576&gt;2500,"HIGH")</f>
        <v>HIGH</v>
      </c>
    </row>
    <row r="578" spans="1:7" x14ac:dyDescent="0.3">
      <c r="A578" s="44" t="s">
        <v>233</v>
      </c>
      <c r="B578" s="45" t="s">
        <v>248</v>
      </c>
      <c r="C578" s="45">
        <v>2764</v>
      </c>
      <c r="D578" s="45" t="s">
        <v>215</v>
      </c>
      <c r="E578" s="46">
        <v>41892</v>
      </c>
      <c r="F578" s="47" t="s">
        <v>228</v>
      </c>
      <c r="G578" t="str" cm="1">
        <f t="array" ref="G578">_xlfn.IFS(C577&lt;=1000,"LOW",C577&lt;=2500,"MEDIUM",C577&gt;2500,"HIGH")</f>
        <v>HIGH</v>
      </c>
    </row>
    <row r="579" spans="1:7" x14ac:dyDescent="0.3">
      <c r="A579" s="44" t="s">
        <v>233</v>
      </c>
      <c r="B579" s="45" t="s">
        <v>283</v>
      </c>
      <c r="C579" s="45">
        <v>2772</v>
      </c>
      <c r="D579" s="45" t="s">
        <v>211</v>
      </c>
      <c r="E579" s="46">
        <v>41749</v>
      </c>
      <c r="F579" s="47" t="s">
        <v>216</v>
      </c>
      <c r="G579" t="str" cm="1">
        <f t="array" ref="G579">_xlfn.IFS(C578&lt;=1000,"LOW",C578&lt;=2500,"MEDIUM",C578&gt;2500,"HIGH")</f>
        <v>HIGH</v>
      </c>
    </row>
    <row r="580" spans="1:7" x14ac:dyDescent="0.3">
      <c r="A580" s="44" t="s">
        <v>233</v>
      </c>
      <c r="B580" s="45" t="s">
        <v>255</v>
      </c>
      <c r="C580" s="45">
        <v>2777</v>
      </c>
      <c r="D580" s="45" t="s">
        <v>211</v>
      </c>
      <c r="E580" s="46">
        <v>41976</v>
      </c>
      <c r="F580" s="47" t="s">
        <v>221</v>
      </c>
      <c r="G580" t="str" cm="1">
        <f t="array" ref="G580">_xlfn.IFS(C579&lt;=1000,"LOW",C579&lt;=2500,"MEDIUM",C579&gt;2500,"HIGH")</f>
        <v>HIGH</v>
      </c>
    </row>
    <row r="581" spans="1:7" x14ac:dyDescent="0.3">
      <c r="A581" s="44" t="s">
        <v>223</v>
      </c>
      <c r="B581" s="45" t="s">
        <v>290</v>
      </c>
      <c r="C581" s="45">
        <v>2781</v>
      </c>
      <c r="D581" s="45" t="s">
        <v>225</v>
      </c>
      <c r="E581" s="46">
        <v>42212</v>
      </c>
      <c r="F581" s="47" t="s">
        <v>228</v>
      </c>
      <c r="G581" t="str" cm="1">
        <f t="array" ref="G581">_xlfn.IFS(C580&lt;=1000,"LOW",C580&lt;=2500,"MEDIUM",C580&gt;2500,"HIGH")</f>
        <v>HIGH</v>
      </c>
    </row>
    <row r="582" spans="1:7" x14ac:dyDescent="0.3">
      <c r="A582" s="44" t="s">
        <v>246</v>
      </c>
      <c r="B582" s="45" t="s">
        <v>262</v>
      </c>
      <c r="C582" s="45">
        <v>2783</v>
      </c>
      <c r="D582" s="45" t="s">
        <v>211</v>
      </c>
      <c r="E582" s="46">
        <v>42082</v>
      </c>
      <c r="F582" s="47" t="s">
        <v>212</v>
      </c>
      <c r="G582" t="str" cm="1">
        <f t="array" ref="G582">_xlfn.IFS(C581&lt;=1000,"LOW",C581&lt;=2500,"MEDIUM",C581&gt;2500,"HIGH")</f>
        <v>HIGH</v>
      </c>
    </row>
    <row r="583" spans="1:7" x14ac:dyDescent="0.3">
      <c r="A583" s="44" t="s">
        <v>223</v>
      </c>
      <c r="B583" s="45" t="s">
        <v>293</v>
      </c>
      <c r="C583" s="45">
        <v>2785</v>
      </c>
      <c r="D583" s="45" t="s">
        <v>220</v>
      </c>
      <c r="E583" s="46">
        <v>42024</v>
      </c>
      <c r="F583" s="47" t="s">
        <v>212</v>
      </c>
      <c r="G583" t="str" cm="1">
        <f t="array" ref="G583">_xlfn.IFS(C582&lt;=1000,"LOW",C582&lt;=2500,"MEDIUM",C582&gt;2500,"HIGH")</f>
        <v>HIGH</v>
      </c>
    </row>
    <row r="584" spans="1:7" x14ac:dyDescent="0.3">
      <c r="A584" s="44" t="s">
        <v>223</v>
      </c>
      <c r="B584" s="45" t="s">
        <v>227</v>
      </c>
      <c r="C584" s="45">
        <v>2796</v>
      </c>
      <c r="D584" s="45" t="s">
        <v>230</v>
      </c>
      <c r="E584" s="46">
        <v>41808</v>
      </c>
      <c r="F584" s="47" t="s">
        <v>216</v>
      </c>
      <c r="G584" t="str" cm="1">
        <f t="array" ref="G584">_xlfn.IFS(C583&lt;=1000,"LOW",C583&lt;=2500,"MEDIUM",C583&gt;2500,"HIGH")</f>
        <v>HIGH</v>
      </c>
    </row>
    <row r="585" spans="1:7" x14ac:dyDescent="0.3">
      <c r="A585" s="44" t="s">
        <v>209</v>
      </c>
      <c r="B585" s="45" t="s">
        <v>261</v>
      </c>
      <c r="C585" s="45">
        <v>2797</v>
      </c>
      <c r="D585" s="45" t="s">
        <v>225</v>
      </c>
      <c r="E585" s="46">
        <v>41761</v>
      </c>
      <c r="F585" s="47" t="s">
        <v>216</v>
      </c>
      <c r="G585" t="str" cm="1">
        <f t="array" ref="G585">_xlfn.IFS(C584&lt;=1000,"LOW",C584&lt;=2500,"MEDIUM",C584&gt;2500,"HIGH")</f>
        <v>HIGH</v>
      </c>
    </row>
    <row r="586" spans="1:7" x14ac:dyDescent="0.3">
      <c r="A586" s="44" t="s">
        <v>213</v>
      </c>
      <c r="B586" s="45" t="s">
        <v>256</v>
      </c>
      <c r="C586" s="45">
        <v>2801</v>
      </c>
      <c r="D586" s="45" t="s">
        <v>254</v>
      </c>
      <c r="E586" s="46">
        <v>42178</v>
      </c>
      <c r="F586" s="47" t="s">
        <v>216</v>
      </c>
      <c r="G586" t="str" cm="1">
        <f t="array" ref="G586">_xlfn.IFS(C585&lt;=1000,"LOW",C585&lt;=2500,"MEDIUM",C585&gt;2500,"HIGH")</f>
        <v>HIGH</v>
      </c>
    </row>
    <row r="587" spans="1:7" x14ac:dyDescent="0.3">
      <c r="A587" s="44" t="s">
        <v>231</v>
      </c>
      <c r="B587" s="45" t="s">
        <v>271</v>
      </c>
      <c r="C587" s="45">
        <v>2806</v>
      </c>
      <c r="D587" s="45" t="s">
        <v>235</v>
      </c>
      <c r="E587" s="46">
        <v>42042</v>
      </c>
      <c r="F587" s="47" t="s">
        <v>212</v>
      </c>
      <c r="G587" t="str" cm="1">
        <f t="array" ref="G587">_xlfn.IFS(C586&lt;=1000,"LOW",C586&lt;=2500,"MEDIUM",C586&gt;2500,"HIGH")</f>
        <v>HIGH</v>
      </c>
    </row>
    <row r="588" spans="1:7" x14ac:dyDescent="0.3">
      <c r="A588" s="44" t="s">
        <v>233</v>
      </c>
      <c r="B588" s="45" t="s">
        <v>260</v>
      </c>
      <c r="C588" s="45">
        <v>2818</v>
      </c>
      <c r="D588" s="45" t="s">
        <v>230</v>
      </c>
      <c r="E588" s="46">
        <v>41837</v>
      </c>
      <c r="F588" s="47" t="s">
        <v>228</v>
      </c>
      <c r="G588" t="str" cm="1">
        <f t="array" ref="G588">_xlfn.IFS(C587&lt;=1000,"LOW",C587&lt;=2500,"MEDIUM",C587&gt;2500,"HIGH")</f>
        <v>HIGH</v>
      </c>
    </row>
    <row r="589" spans="1:7" x14ac:dyDescent="0.3">
      <c r="A589" s="44" t="s">
        <v>239</v>
      </c>
      <c r="B589" s="45" t="s">
        <v>269</v>
      </c>
      <c r="C589" s="45">
        <v>2822</v>
      </c>
      <c r="D589" s="45" t="s">
        <v>230</v>
      </c>
      <c r="E589" s="46">
        <v>41857</v>
      </c>
      <c r="F589" s="47" t="s">
        <v>228</v>
      </c>
      <c r="G589" t="str" cm="1">
        <f t="array" ref="G589">_xlfn.IFS(C588&lt;=1000,"LOW",C588&lt;=2500,"MEDIUM",C588&gt;2500,"HIGH")</f>
        <v>HIGH</v>
      </c>
    </row>
    <row r="590" spans="1:7" x14ac:dyDescent="0.3">
      <c r="A590" s="44" t="s">
        <v>233</v>
      </c>
      <c r="B590" s="45" t="s">
        <v>258</v>
      </c>
      <c r="C590" s="45">
        <v>2824</v>
      </c>
      <c r="D590" s="45" t="s">
        <v>211</v>
      </c>
      <c r="E590" s="46">
        <v>42264</v>
      </c>
      <c r="F590" s="47" t="s">
        <v>228</v>
      </c>
      <c r="G590" t="str" cm="1">
        <f t="array" ref="G590">_xlfn.IFS(C589&lt;=1000,"LOW",C589&lt;=2500,"MEDIUM",C589&gt;2500,"HIGH")</f>
        <v>HIGH</v>
      </c>
    </row>
    <row r="591" spans="1:7" x14ac:dyDescent="0.3">
      <c r="A591" s="44" t="s">
        <v>239</v>
      </c>
      <c r="B591" s="45" t="s">
        <v>269</v>
      </c>
      <c r="C591" s="45">
        <v>2828</v>
      </c>
      <c r="D591" s="45" t="s">
        <v>254</v>
      </c>
      <c r="E591" s="46">
        <v>41872</v>
      </c>
      <c r="F591" s="47" t="s">
        <v>228</v>
      </c>
      <c r="G591" t="str" cm="1">
        <f t="array" ref="G591">_xlfn.IFS(C590&lt;=1000,"LOW",C590&lt;=2500,"MEDIUM",C590&gt;2500,"HIGH")</f>
        <v>HIGH</v>
      </c>
    </row>
    <row r="592" spans="1:7" x14ac:dyDescent="0.3">
      <c r="A592" s="44" t="s">
        <v>233</v>
      </c>
      <c r="B592" s="45" t="s">
        <v>281</v>
      </c>
      <c r="C592" s="45">
        <v>2845</v>
      </c>
      <c r="D592" s="45" t="s">
        <v>218</v>
      </c>
      <c r="E592" s="46">
        <v>42080</v>
      </c>
      <c r="F592" s="47" t="s">
        <v>212</v>
      </c>
      <c r="G592" t="str" cm="1">
        <f t="array" ref="G592">_xlfn.IFS(C591&lt;=1000,"LOW",C591&lt;=2500,"MEDIUM",C591&gt;2500,"HIGH")</f>
        <v>HIGH</v>
      </c>
    </row>
    <row r="593" spans="1:7" x14ac:dyDescent="0.3">
      <c r="A593" s="44" t="s">
        <v>236</v>
      </c>
      <c r="B593" s="45" t="s">
        <v>308</v>
      </c>
      <c r="C593" s="45">
        <v>2848</v>
      </c>
      <c r="D593" s="45" t="s">
        <v>222</v>
      </c>
      <c r="E593" s="46">
        <v>41918</v>
      </c>
      <c r="F593" s="47" t="s">
        <v>221</v>
      </c>
      <c r="G593" t="str" cm="1">
        <f t="array" ref="G593">_xlfn.IFS(C592&lt;=1000,"LOW",C592&lt;=2500,"MEDIUM",C592&gt;2500,"HIGH")</f>
        <v>HIGH</v>
      </c>
    </row>
    <row r="594" spans="1:7" x14ac:dyDescent="0.3">
      <c r="A594" s="44" t="s">
        <v>209</v>
      </c>
      <c r="B594" s="45" t="s">
        <v>219</v>
      </c>
      <c r="C594" s="45">
        <v>2849</v>
      </c>
      <c r="D594" s="45" t="s">
        <v>220</v>
      </c>
      <c r="E594" s="46">
        <v>41816</v>
      </c>
      <c r="F594" s="47" t="s">
        <v>216</v>
      </c>
      <c r="G594" t="str" cm="1">
        <f t="array" ref="G594">_xlfn.IFS(C593&lt;=1000,"LOW",C593&lt;=2500,"MEDIUM",C593&gt;2500,"HIGH")</f>
        <v>HIGH</v>
      </c>
    </row>
    <row r="595" spans="1:7" x14ac:dyDescent="0.3">
      <c r="A595" s="44" t="s">
        <v>233</v>
      </c>
      <c r="B595" s="45" t="s">
        <v>252</v>
      </c>
      <c r="C595" s="45">
        <v>2849</v>
      </c>
      <c r="D595" s="45" t="s">
        <v>220</v>
      </c>
      <c r="E595" s="46">
        <v>41918</v>
      </c>
      <c r="F595" s="47" t="s">
        <v>221</v>
      </c>
      <c r="G595" t="str" cm="1">
        <f t="array" ref="G595">_xlfn.IFS(C594&lt;=1000,"LOW",C594&lt;=2500,"MEDIUM",C594&gt;2500,"HIGH")</f>
        <v>HIGH</v>
      </c>
    </row>
    <row r="596" spans="1:7" x14ac:dyDescent="0.3">
      <c r="A596" s="44" t="s">
        <v>223</v>
      </c>
      <c r="B596" s="45" t="s">
        <v>227</v>
      </c>
      <c r="C596" s="45">
        <v>2853</v>
      </c>
      <c r="D596" s="45" t="s">
        <v>222</v>
      </c>
      <c r="E596" s="46">
        <v>41795</v>
      </c>
      <c r="F596" s="47" t="s">
        <v>216</v>
      </c>
      <c r="G596" t="str" cm="1">
        <f t="array" ref="G596">_xlfn.IFS(C595&lt;=1000,"LOW",C595&lt;=2500,"MEDIUM",C595&gt;2500,"HIGH")</f>
        <v>HIGH</v>
      </c>
    </row>
    <row r="597" spans="1:7" x14ac:dyDescent="0.3">
      <c r="A597" s="44" t="s">
        <v>246</v>
      </c>
      <c r="B597" s="45" t="s">
        <v>247</v>
      </c>
      <c r="C597" s="45">
        <v>2861</v>
      </c>
      <c r="D597" s="45" t="s">
        <v>235</v>
      </c>
      <c r="E597" s="46">
        <v>42259</v>
      </c>
      <c r="F597" s="47" t="s">
        <v>228</v>
      </c>
      <c r="G597" t="str" cm="1">
        <f t="array" ref="G597">_xlfn.IFS(C596&lt;=1000,"LOW",C596&lt;=2500,"MEDIUM",C596&gt;2500,"HIGH")</f>
        <v>HIGH</v>
      </c>
    </row>
    <row r="598" spans="1:7" x14ac:dyDescent="0.3">
      <c r="A598" s="44" t="s">
        <v>223</v>
      </c>
      <c r="B598" s="45" t="s">
        <v>224</v>
      </c>
      <c r="C598" s="45">
        <v>2869</v>
      </c>
      <c r="D598" s="45" t="s">
        <v>218</v>
      </c>
      <c r="E598" s="46">
        <v>42145</v>
      </c>
      <c r="F598" s="47" t="s">
        <v>216</v>
      </c>
      <c r="G598" t="str" cm="1">
        <f t="array" ref="G598">_xlfn.IFS(C597&lt;=1000,"LOW",C597&lt;=2500,"MEDIUM",C597&gt;2500,"HIGH")</f>
        <v>HIGH</v>
      </c>
    </row>
    <row r="599" spans="1:7" x14ac:dyDescent="0.3">
      <c r="A599" s="44" t="s">
        <v>236</v>
      </c>
      <c r="B599" s="45" t="s">
        <v>300</v>
      </c>
      <c r="C599" s="45">
        <v>2878</v>
      </c>
      <c r="D599" s="45" t="s">
        <v>215</v>
      </c>
      <c r="E599" s="46">
        <v>42208</v>
      </c>
      <c r="F599" s="47" t="s">
        <v>228</v>
      </c>
      <c r="G599" t="str" cm="1">
        <f t="array" ref="G599">_xlfn.IFS(C598&lt;=1000,"LOW",C598&lt;=2500,"MEDIUM",C598&gt;2500,"HIGH")</f>
        <v>HIGH</v>
      </c>
    </row>
    <row r="600" spans="1:7" x14ac:dyDescent="0.3">
      <c r="A600" s="44" t="s">
        <v>246</v>
      </c>
      <c r="B600" s="45" t="s">
        <v>262</v>
      </c>
      <c r="C600" s="45">
        <v>2889</v>
      </c>
      <c r="D600" s="45" t="s">
        <v>235</v>
      </c>
      <c r="E600" s="46">
        <v>41866</v>
      </c>
      <c r="F600" s="47" t="s">
        <v>228</v>
      </c>
      <c r="G600" t="str" cm="1">
        <f t="array" ref="G600">_xlfn.IFS(C599&lt;=1000,"LOW",C599&lt;=2500,"MEDIUM",C599&gt;2500,"HIGH")</f>
        <v>HIGH</v>
      </c>
    </row>
    <row r="601" spans="1:7" x14ac:dyDescent="0.3">
      <c r="A601" s="44" t="s">
        <v>223</v>
      </c>
      <c r="B601" s="45" t="s">
        <v>282</v>
      </c>
      <c r="C601" s="45">
        <v>2893</v>
      </c>
      <c r="D601" s="45" t="s">
        <v>211</v>
      </c>
      <c r="E601" s="46">
        <v>42115</v>
      </c>
      <c r="F601" s="47" t="s">
        <v>216</v>
      </c>
      <c r="G601" t="str" cm="1">
        <f t="array" ref="G601">_xlfn.IFS(C600&lt;=1000,"LOW",C600&lt;=2500,"MEDIUM",C600&gt;2500,"HIGH")</f>
        <v>HIGH</v>
      </c>
    </row>
    <row r="602" spans="1:7" x14ac:dyDescent="0.3">
      <c r="A602" s="44" t="s">
        <v>223</v>
      </c>
      <c r="B602" s="45" t="s">
        <v>249</v>
      </c>
      <c r="C602" s="45">
        <v>2895</v>
      </c>
      <c r="D602" s="45" t="s">
        <v>225</v>
      </c>
      <c r="E602" s="46">
        <v>41798</v>
      </c>
      <c r="F602" s="47" t="s">
        <v>216</v>
      </c>
      <c r="G602" t="str" cm="1">
        <f t="array" ref="G602">_xlfn.IFS(C601&lt;=1000,"LOW",C601&lt;=2500,"MEDIUM",C601&gt;2500,"HIGH")</f>
        <v>HIGH</v>
      </c>
    </row>
    <row r="603" spans="1:7" x14ac:dyDescent="0.3">
      <c r="A603" s="44" t="s">
        <v>223</v>
      </c>
      <c r="B603" s="45" t="s">
        <v>293</v>
      </c>
      <c r="C603" s="45">
        <v>2903</v>
      </c>
      <c r="D603" s="45" t="s">
        <v>230</v>
      </c>
      <c r="E603" s="46">
        <v>41915</v>
      </c>
      <c r="F603" s="47" t="s">
        <v>221</v>
      </c>
      <c r="G603" t="str" cm="1">
        <f t="array" ref="G603">_xlfn.IFS(C602&lt;=1000,"LOW",C602&lt;=2500,"MEDIUM",C602&gt;2500,"HIGH")</f>
        <v>HIGH</v>
      </c>
    </row>
    <row r="604" spans="1:7" x14ac:dyDescent="0.3">
      <c r="A604" s="44" t="s">
        <v>209</v>
      </c>
      <c r="B604" s="45" t="s">
        <v>297</v>
      </c>
      <c r="C604" s="45">
        <v>2908</v>
      </c>
      <c r="D604" s="45" t="s">
        <v>235</v>
      </c>
      <c r="E604" s="46">
        <v>42282</v>
      </c>
      <c r="F604" s="47" t="s">
        <v>221</v>
      </c>
      <c r="G604" t="str" cm="1">
        <f t="array" ref="G604">_xlfn.IFS(C603&lt;=1000,"LOW",C603&lt;=2500,"MEDIUM",C603&gt;2500,"HIGH")</f>
        <v>HIGH</v>
      </c>
    </row>
    <row r="605" spans="1:7" x14ac:dyDescent="0.3">
      <c r="A605" s="44" t="s">
        <v>236</v>
      </c>
      <c r="B605" s="45" t="s">
        <v>253</v>
      </c>
      <c r="C605" s="45">
        <v>2913</v>
      </c>
      <c r="D605" s="45" t="s">
        <v>222</v>
      </c>
      <c r="E605" s="46">
        <v>41832</v>
      </c>
      <c r="F605" s="47" t="s">
        <v>228</v>
      </c>
      <c r="G605" t="str" cm="1">
        <f t="array" ref="G605">_xlfn.IFS(C604&lt;=1000,"LOW",C604&lt;=2500,"MEDIUM",C604&gt;2500,"HIGH")</f>
        <v>HIGH</v>
      </c>
    </row>
    <row r="606" spans="1:7" x14ac:dyDescent="0.3">
      <c r="A606" s="44" t="s">
        <v>223</v>
      </c>
      <c r="B606" s="45" t="s">
        <v>290</v>
      </c>
      <c r="C606" s="45">
        <v>2919</v>
      </c>
      <c r="D606" s="45" t="s">
        <v>235</v>
      </c>
      <c r="E606" s="46">
        <v>41657</v>
      </c>
      <c r="F606" s="47" t="s">
        <v>212</v>
      </c>
      <c r="G606" t="str" cm="1">
        <f t="array" ref="G606">_xlfn.IFS(C605&lt;=1000,"LOW",C605&lt;=2500,"MEDIUM",C605&gt;2500,"HIGH")</f>
        <v>HIGH</v>
      </c>
    </row>
    <row r="607" spans="1:7" x14ac:dyDescent="0.3">
      <c r="A607" s="44" t="s">
        <v>233</v>
      </c>
      <c r="B607" s="45" t="s">
        <v>285</v>
      </c>
      <c r="C607" s="45">
        <v>2925</v>
      </c>
      <c r="D607" s="45" t="s">
        <v>245</v>
      </c>
      <c r="E607" s="46">
        <v>42161</v>
      </c>
      <c r="F607" s="47" t="s">
        <v>216</v>
      </c>
      <c r="G607" t="str" cm="1">
        <f t="array" ref="G607">_xlfn.IFS(C606&lt;=1000,"LOW",C606&lt;=2500,"MEDIUM",C606&gt;2500,"HIGH")</f>
        <v>HIGH</v>
      </c>
    </row>
    <row r="608" spans="1:7" x14ac:dyDescent="0.3">
      <c r="A608" s="44" t="s">
        <v>209</v>
      </c>
      <c r="B608" s="45" t="s">
        <v>270</v>
      </c>
      <c r="C608" s="45">
        <v>2931</v>
      </c>
      <c r="D608" s="45" t="s">
        <v>230</v>
      </c>
      <c r="E608" s="46">
        <v>41801</v>
      </c>
      <c r="F608" s="47" t="s">
        <v>216</v>
      </c>
      <c r="G608" t="str" cm="1">
        <f t="array" ref="G608">_xlfn.IFS(C607&lt;=1000,"LOW",C607&lt;=2500,"MEDIUM",C607&gt;2500,"HIGH")</f>
        <v>HIGH</v>
      </c>
    </row>
    <row r="609" spans="1:7" x14ac:dyDescent="0.3">
      <c r="A609" s="44" t="s">
        <v>233</v>
      </c>
      <c r="B609" s="45" t="s">
        <v>281</v>
      </c>
      <c r="C609" s="45">
        <v>2934</v>
      </c>
      <c r="D609" s="45" t="s">
        <v>230</v>
      </c>
      <c r="E609" s="46">
        <v>42347</v>
      </c>
      <c r="F609" s="47" t="s">
        <v>221</v>
      </c>
      <c r="G609" t="str" cm="1">
        <f t="array" ref="G609">_xlfn.IFS(C608&lt;=1000,"LOW",C608&lt;=2500,"MEDIUM",C608&gt;2500,"HIGH")</f>
        <v>HIGH</v>
      </c>
    </row>
    <row r="610" spans="1:7" x14ac:dyDescent="0.3">
      <c r="A610" s="44" t="s">
        <v>246</v>
      </c>
      <c r="B610" s="45" t="s">
        <v>274</v>
      </c>
      <c r="C610" s="45">
        <v>2936</v>
      </c>
      <c r="D610" s="45" t="s">
        <v>235</v>
      </c>
      <c r="E610" s="46">
        <v>42008</v>
      </c>
      <c r="F610" s="47" t="s">
        <v>212</v>
      </c>
      <c r="G610" t="str" cm="1">
        <f t="array" ref="G610">_xlfn.IFS(C609&lt;=1000,"LOW",C609&lt;=2500,"MEDIUM",C609&gt;2500,"HIGH")</f>
        <v>HIGH</v>
      </c>
    </row>
    <row r="611" spans="1:7" x14ac:dyDescent="0.3">
      <c r="A611" s="44" t="s">
        <v>231</v>
      </c>
      <c r="B611" s="45" t="s">
        <v>302</v>
      </c>
      <c r="C611" s="45">
        <v>2936</v>
      </c>
      <c r="D611" s="45" t="s">
        <v>245</v>
      </c>
      <c r="E611" s="46">
        <v>41761</v>
      </c>
      <c r="F611" s="47" t="s">
        <v>216</v>
      </c>
      <c r="G611" t="str" cm="1">
        <f t="array" ref="G611">_xlfn.IFS(C610&lt;=1000,"LOW",C610&lt;=2500,"MEDIUM",C610&gt;2500,"HIGH")</f>
        <v>HIGH</v>
      </c>
    </row>
    <row r="612" spans="1:7" x14ac:dyDescent="0.3">
      <c r="A612" s="44" t="s">
        <v>213</v>
      </c>
      <c r="B612" s="45" t="s">
        <v>217</v>
      </c>
      <c r="C612" s="45">
        <v>2938</v>
      </c>
      <c r="D612" s="45" t="s">
        <v>218</v>
      </c>
      <c r="E612" s="46">
        <v>42027</v>
      </c>
      <c r="F612" s="47" t="s">
        <v>212</v>
      </c>
      <c r="G612" t="str" cm="1">
        <f t="array" ref="G612">_xlfn.IFS(C611&lt;=1000,"LOW",C611&lt;=2500,"MEDIUM",C611&gt;2500,"HIGH")</f>
        <v>HIGH</v>
      </c>
    </row>
    <row r="613" spans="1:7" x14ac:dyDescent="0.3">
      <c r="A613" s="44" t="s">
        <v>213</v>
      </c>
      <c r="B613" s="45" t="s">
        <v>266</v>
      </c>
      <c r="C613" s="45">
        <v>2938</v>
      </c>
      <c r="D613" s="45" t="s">
        <v>254</v>
      </c>
      <c r="E613" s="46">
        <v>42230</v>
      </c>
      <c r="F613" s="47" t="s">
        <v>228</v>
      </c>
      <c r="G613" t="str" cm="1">
        <f t="array" ref="G613">_xlfn.IFS(C612&lt;=1000,"LOW",C612&lt;=2500,"MEDIUM",C612&gt;2500,"HIGH")</f>
        <v>HIGH</v>
      </c>
    </row>
    <row r="614" spans="1:7" x14ac:dyDescent="0.3">
      <c r="A614" s="44" t="s">
        <v>233</v>
      </c>
      <c r="B614" s="45" t="s">
        <v>310</v>
      </c>
      <c r="C614" s="45">
        <v>2941</v>
      </c>
      <c r="D614" s="45" t="s">
        <v>254</v>
      </c>
      <c r="E614" s="46">
        <v>41975</v>
      </c>
      <c r="F614" s="47" t="s">
        <v>221</v>
      </c>
      <c r="G614" t="str" cm="1">
        <f t="array" ref="G614">_xlfn.IFS(C613&lt;=1000,"LOW",C613&lt;=2500,"MEDIUM",C613&gt;2500,"HIGH")</f>
        <v>HIGH</v>
      </c>
    </row>
    <row r="615" spans="1:7" x14ac:dyDescent="0.3">
      <c r="A615" s="44" t="s">
        <v>236</v>
      </c>
      <c r="B615" s="45" t="s">
        <v>238</v>
      </c>
      <c r="C615" s="45">
        <v>2943</v>
      </c>
      <c r="D615" s="45" t="s">
        <v>215</v>
      </c>
      <c r="E615" s="46">
        <v>42160</v>
      </c>
      <c r="F615" s="47" t="s">
        <v>216</v>
      </c>
      <c r="G615" t="str" cm="1">
        <f t="array" ref="G615">_xlfn.IFS(C614&lt;=1000,"LOW",C614&lt;=2500,"MEDIUM",C614&gt;2500,"HIGH")</f>
        <v>HIGH</v>
      </c>
    </row>
    <row r="616" spans="1:7" x14ac:dyDescent="0.3">
      <c r="A616" s="44" t="s">
        <v>231</v>
      </c>
      <c r="B616" s="45" t="s">
        <v>257</v>
      </c>
      <c r="C616" s="45">
        <v>2945</v>
      </c>
      <c r="D616" s="45" t="s">
        <v>230</v>
      </c>
      <c r="E616" s="46">
        <v>41699</v>
      </c>
      <c r="F616" s="47" t="s">
        <v>212</v>
      </c>
      <c r="G616" t="str" cm="1">
        <f t="array" ref="G616">_xlfn.IFS(C615&lt;=1000,"LOW",C615&lt;=2500,"MEDIUM",C615&gt;2500,"HIGH")</f>
        <v>HIGH</v>
      </c>
    </row>
    <row r="617" spans="1:7" x14ac:dyDescent="0.3">
      <c r="A617" s="44" t="s">
        <v>236</v>
      </c>
      <c r="B617" s="45" t="s">
        <v>300</v>
      </c>
      <c r="C617" s="45">
        <v>2946</v>
      </c>
      <c r="D617" s="45" t="s">
        <v>222</v>
      </c>
      <c r="E617" s="46">
        <v>41951</v>
      </c>
      <c r="F617" s="47" t="s">
        <v>221</v>
      </c>
      <c r="G617" t="str" cm="1">
        <f t="array" ref="G617">_xlfn.IFS(C616&lt;=1000,"LOW",C616&lt;=2500,"MEDIUM",C616&gt;2500,"HIGH")</f>
        <v>HIGH</v>
      </c>
    </row>
    <row r="618" spans="1:7" x14ac:dyDescent="0.3">
      <c r="A618" s="44" t="s">
        <v>233</v>
      </c>
      <c r="B618" s="45" t="s">
        <v>265</v>
      </c>
      <c r="C618" s="45">
        <v>2957</v>
      </c>
      <c r="D618" s="45" t="s">
        <v>218</v>
      </c>
      <c r="E618" s="46">
        <v>41671</v>
      </c>
      <c r="F618" s="47" t="s">
        <v>212</v>
      </c>
      <c r="G618" t="str" cm="1">
        <f t="array" ref="G618">_xlfn.IFS(C617&lt;=1000,"LOW",C617&lt;=2500,"MEDIUM",C617&gt;2500,"HIGH")</f>
        <v>HIGH</v>
      </c>
    </row>
    <row r="619" spans="1:7" x14ac:dyDescent="0.3">
      <c r="A619" s="44" t="s">
        <v>239</v>
      </c>
      <c r="B619" s="45" t="s">
        <v>240</v>
      </c>
      <c r="C619" s="45">
        <v>2961</v>
      </c>
      <c r="D619" s="45" t="s">
        <v>211</v>
      </c>
      <c r="E619" s="46">
        <v>42230</v>
      </c>
      <c r="F619" s="47" t="s">
        <v>228</v>
      </c>
      <c r="G619" t="str" cm="1">
        <f t="array" ref="G619">_xlfn.IFS(C618&lt;=1000,"LOW",C618&lt;=2500,"MEDIUM",C618&gt;2500,"HIGH")</f>
        <v>HIGH</v>
      </c>
    </row>
    <row r="620" spans="1:7" x14ac:dyDescent="0.3">
      <c r="A620" s="44" t="s">
        <v>223</v>
      </c>
      <c r="B620" s="45" t="s">
        <v>273</v>
      </c>
      <c r="C620" s="45">
        <v>2963</v>
      </c>
      <c r="D620" s="45" t="s">
        <v>215</v>
      </c>
      <c r="E620" s="46">
        <v>42106</v>
      </c>
      <c r="F620" s="47" t="s">
        <v>216</v>
      </c>
      <c r="G620" t="str" cm="1">
        <f t="array" ref="G620">_xlfn.IFS(C619&lt;=1000,"LOW",C619&lt;=2500,"MEDIUM",C619&gt;2500,"HIGH")</f>
        <v>HIGH</v>
      </c>
    </row>
    <row r="621" spans="1:7" x14ac:dyDescent="0.3">
      <c r="A621" s="44" t="s">
        <v>233</v>
      </c>
      <c r="B621" s="45" t="s">
        <v>234</v>
      </c>
      <c r="C621" s="45">
        <v>2966</v>
      </c>
      <c r="D621" s="45" t="s">
        <v>225</v>
      </c>
      <c r="E621" s="46">
        <v>42188</v>
      </c>
      <c r="F621" s="47" t="s">
        <v>228</v>
      </c>
      <c r="G621" t="str" cm="1">
        <f t="array" ref="G621">_xlfn.IFS(C620&lt;=1000,"LOW",C620&lt;=2500,"MEDIUM",C620&gt;2500,"HIGH")</f>
        <v>HIGH</v>
      </c>
    </row>
    <row r="622" spans="1:7" x14ac:dyDescent="0.3">
      <c r="A622" s="44" t="s">
        <v>223</v>
      </c>
      <c r="B622" s="45" t="s">
        <v>259</v>
      </c>
      <c r="C622" s="45">
        <v>2966</v>
      </c>
      <c r="D622" s="45" t="s">
        <v>235</v>
      </c>
      <c r="E622" s="46">
        <v>42207</v>
      </c>
      <c r="F622" s="47" t="s">
        <v>228</v>
      </c>
      <c r="G622" t="str" cm="1">
        <f t="array" ref="G622">_xlfn.IFS(C621&lt;=1000,"LOW",C621&lt;=2500,"MEDIUM",C621&gt;2500,"HIGH")</f>
        <v>HIGH</v>
      </c>
    </row>
    <row r="623" spans="1:7" x14ac:dyDescent="0.3">
      <c r="A623" s="44" t="s">
        <v>233</v>
      </c>
      <c r="B623" s="45" t="s">
        <v>310</v>
      </c>
      <c r="C623" s="45">
        <v>2976</v>
      </c>
      <c r="D623" s="45" t="s">
        <v>211</v>
      </c>
      <c r="E623" s="46">
        <v>42281</v>
      </c>
      <c r="F623" s="47" t="s">
        <v>221</v>
      </c>
      <c r="G623" t="str" cm="1">
        <f t="array" ref="G623">_xlfn.IFS(C622&lt;=1000,"LOW",C622&lt;=2500,"MEDIUM",C622&gt;2500,"HIGH")</f>
        <v>HIGH</v>
      </c>
    </row>
    <row r="624" spans="1:7" x14ac:dyDescent="0.3">
      <c r="A624" s="44" t="s">
        <v>213</v>
      </c>
      <c r="B624" s="45" t="s">
        <v>268</v>
      </c>
      <c r="C624" s="45">
        <v>2978</v>
      </c>
      <c r="D624" s="45" t="s">
        <v>225</v>
      </c>
      <c r="E624" s="46">
        <v>41661</v>
      </c>
      <c r="F624" s="47" t="s">
        <v>212</v>
      </c>
      <c r="G624" t="str" cm="1">
        <f t="array" ref="G624">_xlfn.IFS(C623&lt;=1000,"LOW",C623&lt;=2500,"MEDIUM",C623&gt;2500,"HIGH")</f>
        <v>HIGH</v>
      </c>
    </row>
    <row r="625" spans="1:7" x14ac:dyDescent="0.3">
      <c r="A625" s="44" t="s">
        <v>223</v>
      </c>
      <c r="B625" s="45" t="s">
        <v>304</v>
      </c>
      <c r="C625" s="45">
        <v>2978</v>
      </c>
      <c r="D625" s="45" t="s">
        <v>230</v>
      </c>
      <c r="E625" s="46">
        <v>42326</v>
      </c>
      <c r="F625" s="47" t="s">
        <v>221</v>
      </c>
      <c r="G625" t="str" cm="1">
        <f t="array" ref="G625">_xlfn.IFS(C624&lt;=1000,"LOW",C624&lt;=2500,"MEDIUM",C624&gt;2500,"HIGH")</f>
        <v>HIGH</v>
      </c>
    </row>
    <row r="626" spans="1:7" x14ac:dyDescent="0.3">
      <c r="A626" s="44" t="s">
        <v>233</v>
      </c>
      <c r="B626" s="45" t="s">
        <v>283</v>
      </c>
      <c r="C626" s="45">
        <v>2981</v>
      </c>
      <c r="D626" s="45" t="s">
        <v>235</v>
      </c>
      <c r="E626" s="46">
        <v>42357</v>
      </c>
      <c r="F626" s="47" t="s">
        <v>221</v>
      </c>
      <c r="G626" t="str" cm="1">
        <f t="array" ref="G626">_xlfn.IFS(C625&lt;=1000,"LOW",C625&lt;=2500,"MEDIUM",C625&gt;2500,"HIGH")</f>
        <v>HIGH</v>
      </c>
    </row>
    <row r="627" spans="1:7" x14ac:dyDescent="0.3">
      <c r="A627" s="44" t="s">
        <v>231</v>
      </c>
      <c r="B627" s="45" t="s">
        <v>302</v>
      </c>
      <c r="C627" s="45">
        <v>2983</v>
      </c>
      <c r="D627" s="45" t="s">
        <v>211</v>
      </c>
      <c r="E627" s="46">
        <v>41748</v>
      </c>
      <c r="F627" s="47" t="s">
        <v>216</v>
      </c>
      <c r="G627" t="str" cm="1">
        <f t="array" ref="G627">_xlfn.IFS(C626&lt;=1000,"LOW",C626&lt;=2500,"MEDIUM",C626&gt;2500,"HIGH")</f>
        <v>HIGH</v>
      </c>
    </row>
    <row r="628" spans="1:7" x14ac:dyDescent="0.3">
      <c r="A628" s="44" t="s">
        <v>213</v>
      </c>
      <c r="B628" s="45" t="s">
        <v>299</v>
      </c>
      <c r="C628" s="45">
        <v>2995</v>
      </c>
      <c r="D628" s="45" t="s">
        <v>254</v>
      </c>
      <c r="E628" s="46">
        <v>41980</v>
      </c>
      <c r="F628" s="47" t="s">
        <v>221</v>
      </c>
      <c r="G628" t="str" cm="1">
        <f t="array" ref="G628">_xlfn.IFS(C627&lt;=1000,"LOW",C627&lt;=2500,"MEDIUM",C627&gt;2500,"HIGH")</f>
        <v>HIGH</v>
      </c>
    </row>
    <row r="629" spans="1:7" x14ac:dyDescent="0.3">
      <c r="A629" s="44" t="s">
        <v>233</v>
      </c>
      <c r="B629" s="45" t="s">
        <v>265</v>
      </c>
      <c r="C629" s="45">
        <v>2996</v>
      </c>
      <c r="D629" s="45" t="s">
        <v>220</v>
      </c>
      <c r="E629" s="46">
        <v>42157</v>
      </c>
      <c r="F629" s="47" t="s">
        <v>216</v>
      </c>
      <c r="G629" t="str" cm="1">
        <f t="array" ref="G629">_xlfn.IFS(C628&lt;=1000,"LOW",C628&lt;=2500,"MEDIUM",C628&gt;2500,"HIGH")</f>
        <v>HIGH</v>
      </c>
    </row>
    <row r="630" spans="1:7" x14ac:dyDescent="0.3">
      <c r="A630" s="44" t="s">
        <v>233</v>
      </c>
      <c r="B630" s="45" t="s">
        <v>258</v>
      </c>
      <c r="C630" s="45">
        <v>2996</v>
      </c>
      <c r="D630" s="45" t="s">
        <v>245</v>
      </c>
      <c r="E630" s="46">
        <v>42096</v>
      </c>
      <c r="F630" s="47" t="s">
        <v>216</v>
      </c>
      <c r="G630" t="str" cm="1">
        <f t="array" ref="G630">_xlfn.IFS(C629&lt;=1000,"LOW",C629&lt;=2500,"MEDIUM",C629&gt;2500,"HIGH")</f>
        <v>HIGH</v>
      </c>
    </row>
    <row r="631" spans="1:7" x14ac:dyDescent="0.3">
      <c r="A631" s="44" t="s">
        <v>233</v>
      </c>
      <c r="B631" s="45" t="s">
        <v>305</v>
      </c>
      <c r="C631" s="45">
        <v>3001</v>
      </c>
      <c r="D631" s="45" t="s">
        <v>230</v>
      </c>
      <c r="E631" s="46">
        <v>42175</v>
      </c>
      <c r="F631" s="47" t="s">
        <v>216</v>
      </c>
      <c r="G631" t="str" cm="1">
        <f t="array" ref="G631">_xlfn.IFS(C630&lt;=1000,"LOW",C630&lt;=2500,"MEDIUM",C630&gt;2500,"HIGH")</f>
        <v>HIGH</v>
      </c>
    </row>
    <row r="632" spans="1:7" x14ac:dyDescent="0.3">
      <c r="A632" s="44" t="s">
        <v>223</v>
      </c>
      <c r="B632" s="45" t="s">
        <v>276</v>
      </c>
      <c r="C632" s="45">
        <v>3004</v>
      </c>
      <c r="D632" s="45" t="s">
        <v>220</v>
      </c>
      <c r="E632" s="46">
        <v>42266</v>
      </c>
      <c r="F632" s="47" t="s">
        <v>228</v>
      </c>
      <c r="G632" t="str" cm="1">
        <f t="array" ref="G632">_xlfn.IFS(C631&lt;=1000,"LOW",C631&lt;=2500,"MEDIUM",C631&gt;2500,"HIGH")</f>
        <v>HIGH</v>
      </c>
    </row>
    <row r="633" spans="1:7" x14ac:dyDescent="0.3">
      <c r="A633" s="44" t="s">
        <v>231</v>
      </c>
      <c r="B633" s="45" t="s">
        <v>257</v>
      </c>
      <c r="C633" s="45">
        <v>3005</v>
      </c>
      <c r="D633" s="45" t="s">
        <v>215</v>
      </c>
      <c r="E633" s="46">
        <v>42325</v>
      </c>
      <c r="F633" s="47" t="s">
        <v>221</v>
      </c>
      <c r="G633" t="str" cm="1">
        <f t="array" ref="G633">_xlfn.IFS(C632&lt;=1000,"LOW",C632&lt;=2500,"MEDIUM",C632&gt;2500,"HIGH")</f>
        <v>HIGH</v>
      </c>
    </row>
    <row r="634" spans="1:7" x14ac:dyDescent="0.3">
      <c r="A634" s="44" t="s">
        <v>236</v>
      </c>
      <c r="B634" s="45" t="s">
        <v>286</v>
      </c>
      <c r="C634" s="45">
        <v>3009</v>
      </c>
      <c r="D634" s="45" t="s">
        <v>235</v>
      </c>
      <c r="E634" s="46">
        <v>41713</v>
      </c>
      <c r="F634" s="47" t="s">
        <v>212</v>
      </c>
      <c r="G634" t="str" cm="1">
        <f t="array" ref="G634">_xlfn.IFS(C633&lt;=1000,"LOW",C633&lt;=2500,"MEDIUM",C633&gt;2500,"HIGH")</f>
        <v>HIGH</v>
      </c>
    </row>
    <row r="635" spans="1:7" x14ac:dyDescent="0.3">
      <c r="A635" s="44" t="s">
        <v>209</v>
      </c>
      <c r="B635" s="45" t="s">
        <v>210</v>
      </c>
      <c r="C635" s="45">
        <v>3009</v>
      </c>
      <c r="D635" s="45" t="s">
        <v>230</v>
      </c>
      <c r="E635" s="46">
        <v>41817</v>
      </c>
      <c r="F635" s="47" t="s">
        <v>216</v>
      </c>
      <c r="G635" t="str" cm="1">
        <f t="array" ref="G635">_xlfn.IFS(C634&lt;=1000,"LOW",C634&lt;=2500,"MEDIUM",C634&gt;2500,"HIGH")</f>
        <v>HIGH</v>
      </c>
    </row>
    <row r="636" spans="1:7" x14ac:dyDescent="0.3">
      <c r="A636" s="44" t="s">
        <v>233</v>
      </c>
      <c r="B636" s="45" t="s">
        <v>248</v>
      </c>
      <c r="C636" s="45">
        <v>3020</v>
      </c>
      <c r="D636" s="45" t="s">
        <v>254</v>
      </c>
      <c r="E636" s="46">
        <v>42346</v>
      </c>
      <c r="F636" s="47" t="s">
        <v>221</v>
      </c>
      <c r="G636" t="str" cm="1">
        <f t="array" ref="G636">_xlfn.IFS(C635&lt;=1000,"LOW",C635&lt;=2500,"MEDIUM",C635&gt;2500,"HIGH")</f>
        <v>HIGH</v>
      </c>
    </row>
    <row r="637" spans="1:7" x14ac:dyDescent="0.3">
      <c r="A637" s="44" t="s">
        <v>223</v>
      </c>
      <c r="B637" s="45" t="s">
        <v>276</v>
      </c>
      <c r="C637" s="45">
        <v>3033</v>
      </c>
      <c r="D637" s="45" t="s">
        <v>211</v>
      </c>
      <c r="E637" s="46">
        <v>41874</v>
      </c>
      <c r="F637" s="47" t="s">
        <v>228</v>
      </c>
      <c r="G637" t="str" cm="1">
        <f t="array" ref="G637">_xlfn.IFS(C636&lt;=1000,"LOW",C636&lt;=2500,"MEDIUM",C636&gt;2500,"HIGH")</f>
        <v>HIGH</v>
      </c>
    </row>
    <row r="638" spans="1:7" x14ac:dyDescent="0.3">
      <c r="A638" s="44" t="s">
        <v>236</v>
      </c>
      <c r="B638" s="45" t="s">
        <v>294</v>
      </c>
      <c r="C638" s="45">
        <v>3043</v>
      </c>
      <c r="D638" s="45" t="s">
        <v>215</v>
      </c>
      <c r="E638" s="46">
        <v>41697</v>
      </c>
      <c r="F638" s="47" t="s">
        <v>212</v>
      </c>
      <c r="G638" t="str" cm="1">
        <f t="array" ref="G638">_xlfn.IFS(C637&lt;=1000,"LOW",C637&lt;=2500,"MEDIUM",C637&gt;2500,"HIGH")</f>
        <v>HIGH</v>
      </c>
    </row>
    <row r="639" spans="1:7" x14ac:dyDescent="0.3">
      <c r="A639" s="44" t="s">
        <v>239</v>
      </c>
      <c r="B639" s="45" t="s">
        <v>272</v>
      </c>
      <c r="C639" s="45">
        <v>3044</v>
      </c>
      <c r="D639" s="45" t="s">
        <v>225</v>
      </c>
      <c r="E639" s="46">
        <v>42016</v>
      </c>
      <c r="F639" s="47" t="s">
        <v>212</v>
      </c>
      <c r="G639" t="str" cm="1">
        <f t="array" ref="G639">_xlfn.IFS(C638&lt;=1000,"LOW",C638&lt;=2500,"MEDIUM",C638&gt;2500,"HIGH")</f>
        <v>HIGH</v>
      </c>
    </row>
    <row r="640" spans="1:7" x14ac:dyDescent="0.3">
      <c r="A640" s="44" t="s">
        <v>233</v>
      </c>
      <c r="B640" s="45" t="s">
        <v>252</v>
      </c>
      <c r="C640" s="45">
        <v>3044</v>
      </c>
      <c r="D640" s="45" t="s">
        <v>211</v>
      </c>
      <c r="E640" s="46">
        <v>41951</v>
      </c>
      <c r="F640" s="47" t="s">
        <v>221</v>
      </c>
      <c r="G640" t="str" cm="1">
        <f t="array" ref="G640">_xlfn.IFS(C639&lt;=1000,"LOW",C639&lt;=2500,"MEDIUM",C639&gt;2500,"HIGH")</f>
        <v>HIGH</v>
      </c>
    </row>
    <row r="641" spans="1:7" x14ac:dyDescent="0.3">
      <c r="A641" s="44" t="s">
        <v>236</v>
      </c>
      <c r="B641" s="45" t="s">
        <v>238</v>
      </c>
      <c r="C641" s="45">
        <v>3046</v>
      </c>
      <c r="D641" s="45" t="s">
        <v>211</v>
      </c>
      <c r="E641" s="46">
        <v>42055</v>
      </c>
      <c r="F641" s="47" t="s">
        <v>212</v>
      </c>
      <c r="G641" t="str" cm="1">
        <f t="array" ref="G641">_xlfn.IFS(C640&lt;=1000,"LOW",C640&lt;=2500,"MEDIUM",C640&gt;2500,"HIGH")</f>
        <v>HIGH</v>
      </c>
    </row>
    <row r="642" spans="1:7" x14ac:dyDescent="0.3">
      <c r="A642" s="44" t="s">
        <v>223</v>
      </c>
      <c r="B642" s="45" t="s">
        <v>295</v>
      </c>
      <c r="C642" s="45">
        <v>3049</v>
      </c>
      <c r="D642" s="45" t="s">
        <v>218</v>
      </c>
      <c r="E642" s="46">
        <v>41927</v>
      </c>
      <c r="F642" s="47" t="s">
        <v>221</v>
      </c>
      <c r="G642" t="str" cm="1">
        <f t="array" ref="G642">_xlfn.IFS(C641&lt;=1000,"LOW",C641&lt;=2500,"MEDIUM",C641&gt;2500,"HIGH")</f>
        <v>HIGH</v>
      </c>
    </row>
    <row r="643" spans="1:7" x14ac:dyDescent="0.3">
      <c r="A643" s="44" t="s">
        <v>213</v>
      </c>
      <c r="B643" s="45" t="s">
        <v>217</v>
      </c>
      <c r="C643" s="45">
        <v>3049</v>
      </c>
      <c r="D643" s="45" t="s">
        <v>211</v>
      </c>
      <c r="E643" s="46">
        <v>42356</v>
      </c>
      <c r="F643" s="47" t="s">
        <v>221</v>
      </c>
      <c r="G643" t="str" cm="1">
        <f t="array" ref="G643">_xlfn.IFS(C642&lt;=1000,"LOW",C642&lt;=2500,"MEDIUM",C642&gt;2500,"HIGH")</f>
        <v>HIGH</v>
      </c>
    </row>
    <row r="644" spans="1:7" x14ac:dyDescent="0.3">
      <c r="A644" s="44" t="s">
        <v>223</v>
      </c>
      <c r="B644" s="45" t="s">
        <v>224</v>
      </c>
      <c r="C644" s="45">
        <v>3051</v>
      </c>
      <c r="D644" s="45" t="s">
        <v>230</v>
      </c>
      <c r="E644" s="46">
        <v>41854</v>
      </c>
      <c r="F644" s="47" t="s">
        <v>228</v>
      </c>
      <c r="G644" t="str" cm="1">
        <f t="array" ref="G644">_xlfn.IFS(C643&lt;=1000,"LOW",C643&lt;=2500,"MEDIUM",C643&gt;2500,"HIGH")</f>
        <v>HIGH</v>
      </c>
    </row>
    <row r="645" spans="1:7" x14ac:dyDescent="0.3">
      <c r="A645" s="44" t="s">
        <v>233</v>
      </c>
      <c r="B645" s="45" t="s">
        <v>250</v>
      </c>
      <c r="C645" s="45">
        <v>3060</v>
      </c>
      <c r="D645" s="45" t="s">
        <v>235</v>
      </c>
      <c r="E645" s="46">
        <v>41667</v>
      </c>
      <c r="F645" s="47" t="s">
        <v>212</v>
      </c>
      <c r="G645" t="str" cm="1">
        <f t="array" ref="G645">_xlfn.IFS(C644&lt;=1000,"LOW",C644&lt;=2500,"MEDIUM",C644&gt;2500,"HIGH")</f>
        <v>HIGH</v>
      </c>
    </row>
    <row r="646" spans="1:7" x14ac:dyDescent="0.3">
      <c r="A646" s="44" t="s">
        <v>209</v>
      </c>
      <c r="B646" s="45" t="s">
        <v>226</v>
      </c>
      <c r="C646" s="45">
        <v>3064</v>
      </c>
      <c r="D646" s="45" t="s">
        <v>235</v>
      </c>
      <c r="E646" s="46">
        <v>42241</v>
      </c>
      <c r="F646" s="47" t="s">
        <v>228</v>
      </c>
      <c r="G646" t="str" cm="1">
        <f t="array" ref="G646">_xlfn.IFS(C645&lt;=1000,"LOW",C645&lt;=2500,"MEDIUM",C645&gt;2500,"HIGH")</f>
        <v>HIGH</v>
      </c>
    </row>
    <row r="647" spans="1:7" x14ac:dyDescent="0.3">
      <c r="A647" s="44" t="s">
        <v>223</v>
      </c>
      <c r="B647" s="45" t="s">
        <v>304</v>
      </c>
      <c r="C647" s="45">
        <v>3068</v>
      </c>
      <c r="D647" s="45" t="s">
        <v>235</v>
      </c>
      <c r="E647" s="46">
        <v>41816</v>
      </c>
      <c r="F647" s="47" t="s">
        <v>216</v>
      </c>
      <c r="G647" t="str" cm="1">
        <f t="array" ref="G647">_xlfn.IFS(C646&lt;=1000,"LOW",C646&lt;=2500,"MEDIUM",C646&gt;2500,"HIGH")</f>
        <v>HIGH</v>
      </c>
    </row>
    <row r="648" spans="1:7" x14ac:dyDescent="0.3">
      <c r="A648" s="44" t="s">
        <v>233</v>
      </c>
      <c r="B648" s="45" t="s">
        <v>283</v>
      </c>
      <c r="C648" s="45">
        <v>3068</v>
      </c>
      <c r="D648" s="45" t="s">
        <v>220</v>
      </c>
      <c r="E648" s="46">
        <v>42204</v>
      </c>
      <c r="F648" s="47" t="s">
        <v>228</v>
      </c>
      <c r="G648" t="str" cm="1">
        <f t="array" ref="G648">_xlfn.IFS(C647&lt;=1000,"LOW",C647&lt;=2500,"MEDIUM",C647&gt;2500,"HIGH")</f>
        <v>HIGH</v>
      </c>
    </row>
    <row r="649" spans="1:7" x14ac:dyDescent="0.3">
      <c r="A649" s="44" t="s">
        <v>231</v>
      </c>
      <c r="B649" s="45" t="s">
        <v>302</v>
      </c>
      <c r="C649" s="45">
        <v>3074</v>
      </c>
      <c r="D649" s="45" t="s">
        <v>230</v>
      </c>
      <c r="E649" s="46">
        <v>42217</v>
      </c>
      <c r="F649" s="47" t="s">
        <v>228</v>
      </c>
      <c r="G649" t="str" cm="1">
        <f t="array" ref="G649">_xlfn.IFS(C648&lt;=1000,"LOW",C648&lt;=2500,"MEDIUM",C648&gt;2500,"HIGH")</f>
        <v>HIGH</v>
      </c>
    </row>
    <row r="650" spans="1:7" x14ac:dyDescent="0.3">
      <c r="A650" s="44" t="s">
        <v>223</v>
      </c>
      <c r="B650" s="45" t="s">
        <v>259</v>
      </c>
      <c r="C650" s="45">
        <v>3075</v>
      </c>
      <c r="D650" s="45" t="s">
        <v>230</v>
      </c>
      <c r="E650" s="46">
        <v>41934</v>
      </c>
      <c r="F650" s="47" t="s">
        <v>221</v>
      </c>
      <c r="G650" t="str" cm="1">
        <f t="array" ref="G650">_xlfn.IFS(C649&lt;=1000,"LOW",C649&lt;=2500,"MEDIUM",C649&gt;2500,"HIGH")</f>
        <v>HIGH</v>
      </c>
    </row>
    <row r="651" spans="1:7" x14ac:dyDescent="0.3">
      <c r="A651" s="44" t="s">
        <v>209</v>
      </c>
      <c r="B651" s="45" t="s">
        <v>297</v>
      </c>
      <c r="C651" s="45">
        <v>3079</v>
      </c>
      <c r="D651" s="45" t="s">
        <v>220</v>
      </c>
      <c r="E651" s="46">
        <v>42297</v>
      </c>
      <c r="F651" s="47" t="s">
        <v>221</v>
      </c>
      <c r="G651" t="str" cm="1">
        <f t="array" ref="G651">_xlfn.IFS(C650&lt;=1000,"LOW",C650&lt;=2500,"MEDIUM",C650&gt;2500,"HIGH")</f>
        <v>HIGH</v>
      </c>
    </row>
    <row r="652" spans="1:7" x14ac:dyDescent="0.3">
      <c r="A652" s="44" t="s">
        <v>236</v>
      </c>
      <c r="B652" s="45" t="s">
        <v>237</v>
      </c>
      <c r="C652" s="45">
        <v>3086</v>
      </c>
      <c r="D652" s="45" t="s">
        <v>235</v>
      </c>
      <c r="E652" s="46">
        <v>42072</v>
      </c>
      <c r="F652" s="47" t="s">
        <v>212</v>
      </c>
      <c r="G652" t="str" cm="1">
        <f t="array" ref="G652">_xlfn.IFS(C651&lt;=1000,"LOW",C651&lt;=2500,"MEDIUM",C651&gt;2500,"HIGH")</f>
        <v>HIGH</v>
      </c>
    </row>
    <row r="653" spans="1:7" x14ac:dyDescent="0.3">
      <c r="A653" s="44" t="s">
        <v>231</v>
      </c>
      <c r="B653" s="45" t="s">
        <v>302</v>
      </c>
      <c r="C653" s="45">
        <v>3086</v>
      </c>
      <c r="D653" s="45" t="s">
        <v>215</v>
      </c>
      <c r="E653" s="46">
        <v>41777</v>
      </c>
      <c r="F653" s="47" t="s">
        <v>216</v>
      </c>
      <c r="G653" t="str" cm="1">
        <f t="array" ref="G653">_xlfn.IFS(C652&lt;=1000,"LOW",C652&lt;=2500,"MEDIUM",C652&gt;2500,"HIGH")</f>
        <v>HIGH</v>
      </c>
    </row>
    <row r="654" spans="1:7" x14ac:dyDescent="0.3">
      <c r="A654" s="44" t="s">
        <v>231</v>
      </c>
      <c r="B654" s="45" t="s">
        <v>257</v>
      </c>
      <c r="C654" s="45">
        <v>3089</v>
      </c>
      <c r="D654" s="45" t="s">
        <v>222</v>
      </c>
      <c r="E654" s="46">
        <v>42273</v>
      </c>
      <c r="F654" s="47" t="s">
        <v>228</v>
      </c>
      <c r="G654" t="str" cm="1">
        <f t="array" ref="G654">_xlfn.IFS(C653&lt;=1000,"LOW",C653&lt;=2500,"MEDIUM",C653&gt;2500,"HIGH")</f>
        <v>HIGH</v>
      </c>
    </row>
    <row r="655" spans="1:7" x14ac:dyDescent="0.3">
      <c r="A655" s="44" t="s">
        <v>213</v>
      </c>
      <c r="B655" s="45" t="s">
        <v>256</v>
      </c>
      <c r="C655" s="45">
        <v>3090</v>
      </c>
      <c r="D655" s="45" t="s">
        <v>225</v>
      </c>
      <c r="E655" s="46">
        <v>42120</v>
      </c>
      <c r="F655" s="47" t="s">
        <v>216</v>
      </c>
      <c r="G655" t="str" cm="1">
        <f t="array" ref="G655">_xlfn.IFS(C654&lt;=1000,"LOW",C654&lt;=2500,"MEDIUM",C654&gt;2500,"HIGH")</f>
        <v>HIGH</v>
      </c>
    </row>
    <row r="656" spans="1:7" x14ac:dyDescent="0.3">
      <c r="A656" s="44" t="s">
        <v>223</v>
      </c>
      <c r="B656" s="45" t="s">
        <v>227</v>
      </c>
      <c r="C656" s="45">
        <v>3094</v>
      </c>
      <c r="D656" s="45" t="s">
        <v>225</v>
      </c>
      <c r="E656" s="46">
        <v>42011</v>
      </c>
      <c r="F656" s="47" t="s">
        <v>212</v>
      </c>
      <c r="G656" t="str" cm="1">
        <f t="array" ref="G656">_xlfn.IFS(C655&lt;=1000,"LOW",C655&lt;=2500,"MEDIUM",C655&gt;2500,"HIGH")</f>
        <v>HIGH</v>
      </c>
    </row>
    <row r="657" spans="1:7" x14ac:dyDescent="0.3">
      <c r="A657" s="44" t="s">
        <v>239</v>
      </c>
      <c r="B657" s="45" t="s">
        <v>243</v>
      </c>
      <c r="C657" s="45">
        <v>3095</v>
      </c>
      <c r="D657" s="45" t="s">
        <v>218</v>
      </c>
      <c r="E657" s="46">
        <v>41733</v>
      </c>
      <c r="F657" s="47" t="s">
        <v>216</v>
      </c>
      <c r="G657" t="str" cm="1">
        <f t="array" ref="G657">_xlfn.IFS(C656&lt;=1000,"LOW",C656&lt;=2500,"MEDIUM",C656&gt;2500,"HIGH")</f>
        <v>HIGH</v>
      </c>
    </row>
    <row r="658" spans="1:7" x14ac:dyDescent="0.3">
      <c r="A658" s="44" t="s">
        <v>213</v>
      </c>
      <c r="B658" s="45" t="s">
        <v>217</v>
      </c>
      <c r="C658" s="45">
        <v>3095</v>
      </c>
      <c r="D658" s="45" t="s">
        <v>225</v>
      </c>
      <c r="E658" s="46">
        <v>41931</v>
      </c>
      <c r="F658" s="47" t="s">
        <v>221</v>
      </c>
      <c r="G658" t="str" cm="1">
        <f t="array" ref="G658">_xlfn.IFS(C657&lt;=1000,"LOW",C657&lt;=2500,"MEDIUM",C657&gt;2500,"HIGH")</f>
        <v>HIGH</v>
      </c>
    </row>
    <row r="659" spans="1:7" x14ac:dyDescent="0.3">
      <c r="A659" s="44" t="s">
        <v>213</v>
      </c>
      <c r="B659" s="45" t="s">
        <v>278</v>
      </c>
      <c r="C659" s="45">
        <v>3098</v>
      </c>
      <c r="D659" s="45" t="s">
        <v>225</v>
      </c>
      <c r="E659" s="46">
        <v>42075</v>
      </c>
      <c r="F659" s="47" t="s">
        <v>212</v>
      </c>
      <c r="G659" t="str" cm="1">
        <f t="array" ref="G659">_xlfn.IFS(C658&lt;=1000,"LOW",C658&lt;=2500,"MEDIUM",C658&gt;2500,"HIGH")</f>
        <v>HIGH</v>
      </c>
    </row>
    <row r="660" spans="1:7" x14ac:dyDescent="0.3">
      <c r="A660" s="44" t="s">
        <v>231</v>
      </c>
      <c r="B660" s="45" t="s">
        <v>271</v>
      </c>
      <c r="C660" s="45">
        <v>3104</v>
      </c>
      <c r="D660" s="45" t="s">
        <v>230</v>
      </c>
      <c r="E660" s="46">
        <v>41894</v>
      </c>
      <c r="F660" s="47" t="s">
        <v>228</v>
      </c>
      <c r="G660" t="str" cm="1">
        <f t="array" ref="G660">_xlfn.IFS(C659&lt;=1000,"LOW",C659&lt;=2500,"MEDIUM",C659&gt;2500,"HIGH")</f>
        <v>HIGH</v>
      </c>
    </row>
    <row r="661" spans="1:7" x14ac:dyDescent="0.3">
      <c r="A661" s="44" t="s">
        <v>231</v>
      </c>
      <c r="B661" s="45" t="s">
        <v>309</v>
      </c>
      <c r="C661" s="45">
        <v>3105</v>
      </c>
      <c r="D661" s="45" t="s">
        <v>245</v>
      </c>
      <c r="E661" s="46">
        <v>41706</v>
      </c>
      <c r="F661" s="47" t="s">
        <v>212</v>
      </c>
      <c r="G661" t="str" cm="1">
        <f t="array" ref="G661">_xlfn.IFS(C660&lt;=1000,"LOW",C660&lt;=2500,"MEDIUM",C660&gt;2500,"HIGH")</f>
        <v>HIGH</v>
      </c>
    </row>
    <row r="662" spans="1:7" x14ac:dyDescent="0.3">
      <c r="A662" s="44" t="s">
        <v>233</v>
      </c>
      <c r="B662" s="45" t="s">
        <v>252</v>
      </c>
      <c r="C662" s="45">
        <v>3112</v>
      </c>
      <c r="D662" s="45" t="s">
        <v>225</v>
      </c>
      <c r="E662" s="46">
        <v>41651</v>
      </c>
      <c r="F662" s="47" t="s">
        <v>212</v>
      </c>
      <c r="G662" t="str" cm="1">
        <f t="array" ref="G662">_xlfn.IFS(C661&lt;=1000,"LOW",C661&lt;=2500,"MEDIUM",C661&gt;2500,"HIGH")</f>
        <v>HIGH</v>
      </c>
    </row>
    <row r="663" spans="1:7" x14ac:dyDescent="0.3">
      <c r="A663" s="44" t="s">
        <v>213</v>
      </c>
      <c r="B663" s="45" t="s">
        <v>229</v>
      </c>
      <c r="C663" s="45">
        <v>3115</v>
      </c>
      <c r="D663" s="45" t="s">
        <v>230</v>
      </c>
      <c r="E663" s="46">
        <v>41782</v>
      </c>
      <c r="F663" s="47" t="s">
        <v>216</v>
      </c>
      <c r="G663" t="str" cm="1">
        <f t="array" ref="G663">_xlfn.IFS(C662&lt;=1000,"LOW",C662&lt;=2500,"MEDIUM",C662&gt;2500,"HIGH")</f>
        <v>HIGH</v>
      </c>
    </row>
    <row r="664" spans="1:7" x14ac:dyDescent="0.3">
      <c r="A664" s="44" t="s">
        <v>231</v>
      </c>
      <c r="B664" s="45" t="s">
        <v>279</v>
      </c>
      <c r="C664" s="45">
        <v>3115</v>
      </c>
      <c r="D664" s="45" t="s">
        <v>254</v>
      </c>
      <c r="E664" s="46">
        <v>41750</v>
      </c>
      <c r="F664" s="47" t="s">
        <v>216</v>
      </c>
      <c r="G664" t="str" cm="1">
        <f t="array" ref="G664">_xlfn.IFS(C663&lt;=1000,"LOW",C663&lt;=2500,"MEDIUM",C663&gt;2500,"HIGH")</f>
        <v>HIGH</v>
      </c>
    </row>
    <row r="665" spans="1:7" x14ac:dyDescent="0.3">
      <c r="A665" s="44" t="s">
        <v>236</v>
      </c>
      <c r="B665" s="45" t="s">
        <v>292</v>
      </c>
      <c r="C665" s="45">
        <v>3119</v>
      </c>
      <c r="D665" s="45" t="s">
        <v>220</v>
      </c>
      <c r="E665" s="46">
        <v>42160</v>
      </c>
      <c r="F665" s="47" t="s">
        <v>216</v>
      </c>
      <c r="G665" t="str" cm="1">
        <f t="array" ref="G665">_xlfn.IFS(C664&lt;=1000,"LOW",C664&lt;=2500,"MEDIUM",C664&gt;2500,"HIGH")</f>
        <v>HIGH</v>
      </c>
    </row>
    <row r="666" spans="1:7" x14ac:dyDescent="0.3">
      <c r="A666" s="44" t="s">
        <v>239</v>
      </c>
      <c r="B666" s="45" t="s">
        <v>267</v>
      </c>
      <c r="C666" s="45">
        <v>3120</v>
      </c>
      <c r="D666" s="45" t="s">
        <v>225</v>
      </c>
      <c r="E666" s="46">
        <v>42069</v>
      </c>
      <c r="F666" s="47" t="s">
        <v>212</v>
      </c>
      <c r="G666" t="str" cm="1">
        <f t="array" ref="G666">_xlfn.IFS(C665&lt;=1000,"LOW",C665&lt;=2500,"MEDIUM",C665&gt;2500,"HIGH")</f>
        <v>HIGH</v>
      </c>
    </row>
    <row r="667" spans="1:7" x14ac:dyDescent="0.3">
      <c r="A667" s="44" t="s">
        <v>233</v>
      </c>
      <c r="B667" s="45" t="s">
        <v>285</v>
      </c>
      <c r="C667" s="45">
        <v>3124</v>
      </c>
      <c r="D667" s="45" t="s">
        <v>220</v>
      </c>
      <c r="E667" s="46">
        <v>42110</v>
      </c>
      <c r="F667" s="47" t="s">
        <v>216</v>
      </c>
      <c r="G667" t="str" cm="1">
        <f t="array" ref="G667">_xlfn.IFS(C666&lt;=1000,"LOW",C666&lt;=2500,"MEDIUM",C666&gt;2500,"HIGH")</f>
        <v>HIGH</v>
      </c>
    </row>
    <row r="668" spans="1:7" x14ac:dyDescent="0.3">
      <c r="A668" s="44" t="s">
        <v>239</v>
      </c>
      <c r="B668" s="45" t="s">
        <v>243</v>
      </c>
      <c r="C668" s="45">
        <v>3127</v>
      </c>
      <c r="D668" s="45" t="s">
        <v>222</v>
      </c>
      <c r="E668" s="46">
        <v>41913</v>
      </c>
      <c r="F668" s="47" t="s">
        <v>221</v>
      </c>
      <c r="G668" t="str" cm="1">
        <f t="array" ref="G668">_xlfn.IFS(C667&lt;=1000,"LOW",C667&lt;=2500,"MEDIUM",C667&gt;2500,"HIGH")</f>
        <v>HIGH</v>
      </c>
    </row>
    <row r="669" spans="1:7" x14ac:dyDescent="0.3">
      <c r="A669" s="44" t="s">
        <v>239</v>
      </c>
      <c r="B669" s="45" t="s">
        <v>272</v>
      </c>
      <c r="C669" s="45">
        <v>3131</v>
      </c>
      <c r="D669" s="45" t="s">
        <v>211</v>
      </c>
      <c r="E669" s="46">
        <v>41754</v>
      </c>
      <c r="F669" s="47" t="s">
        <v>216</v>
      </c>
      <c r="G669" t="str" cm="1">
        <f t="array" ref="G669">_xlfn.IFS(C668&lt;=1000,"LOW",C668&lt;=2500,"MEDIUM",C668&gt;2500,"HIGH")</f>
        <v>HIGH</v>
      </c>
    </row>
    <row r="670" spans="1:7" x14ac:dyDescent="0.3">
      <c r="A670" s="44" t="s">
        <v>231</v>
      </c>
      <c r="B670" s="45" t="s">
        <v>279</v>
      </c>
      <c r="C670" s="45">
        <v>3135</v>
      </c>
      <c r="D670" s="45" t="s">
        <v>225</v>
      </c>
      <c r="E670" s="46">
        <v>42056</v>
      </c>
      <c r="F670" s="47" t="s">
        <v>212</v>
      </c>
      <c r="G670" t="str" cm="1">
        <f t="array" ref="G670">_xlfn.IFS(C669&lt;=1000,"LOW",C669&lt;=2500,"MEDIUM",C669&gt;2500,"HIGH")</f>
        <v>HIGH</v>
      </c>
    </row>
    <row r="671" spans="1:7" x14ac:dyDescent="0.3">
      <c r="A671" s="44" t="s">
        <v>213</v>
      </c>
      <c r="B671" s="45" t="s">
        <v>278</v>
      </c>
      <c r="C671" s="45">
        <v>3137</v>
      </c>
      <c r="D671" s="45" t="s">
        <v>211</v>
      </c>
      <c r="E671" s="46">
        <v>41663</v>
      </c>
      <c r="F671" s="47" t="s">
        <v>212</v>
      </c>
      <c r="G671" t="str" cm="1">
        <f t="array" ref="G671">_xlfn.IFS(C670&lt;=1000,"LOW",C670&lt;=2500,"MEDIUM",C670&gt;2500,"HIGH")</f>
        <v>HIGH</v>
      </c>
    </row>
    <row r="672" spans="1:7" x14ac:dyDescent="0.3">
      <c r="A672" s="44" t="s">
        <v>213</v>
      </c>
      <c r="B672" s="45" t="s">
        <v>288</v>
      </c>
      <c r="C672" s="45">
        <v>3141</v>
      </c>
      <c r="D672" s="45" t="s">
        <v>218</v>
      </c>
      <c r="E672" s="46">
        <v>42350</v>
      </c>
      <c r="F672" s="47" t="s">
        <v>221</v>
      </c>
      <c r="G672" t="str" cm="1">
        <f t="array" ref="G672">_xlfn.IFS(C671&lt;=1000,"LOW",C671&lt;=2500,"MEDIUM",C671&gt;2500,"HIGH")</f>
        <v>HIGH</v>
      </c>
    </row>
    <row r="673" spans="1:7" x14ac:dyDescent="0.3">
      <c r="A673" s="44" t="s">
        <v>233</v>
      </c>
      <c r="B673" s="45" t="s">
        <v>283</v>
      </c>
      <c r="C673" s="45">
        <v>3145</v>
      </c>
      <c r="D673" s="45" t="s">
        <v>245</v>
      </c>
      <c r="E673" s="46">
        <v>42038</v>
      </c>
      <c r="F673" s="47" t="s">
        <v>212</v>
      </c>
      <c r="G673" t="str" cm="1">
        <f t="array" ref="G673">_xlfn.IFS(C672&lt;=1000,"LOW",C672&lt;=2500,"MEDIUM",C672&gt;2500,"HIGH")</f>
        <v>HIGH</v>
      </c>
    </row>
    <row r="674" spans="1:7" x14ac:dyDescent="0.3">
      <c r="A674" s="44" t="s">
        <v>239</v>
      </c>
      <c r="B674" s="45" t="s">
        <v>272</v>
      </c>
      <c r="C674" s="45">
        <v>3149</v>
      </c>
      <c r="D674" s="45" t="s">
        <v>230</v>
      </c>
      <c r="E674" s="46">
        <v>42333</v>
      </c>
      <c r="F674" s="47" t="s">
        <v>221</v>
      </c>
      <c r="G674" t="str" cm="1">
        <f t="array" ref="G674">_xlfn.IFS(C673&lt;=1000,"LOW",C673&lt;=2500,"MEDIUM",C673&gt;2500,"HIGH")</f>
        <v>HIGH</v>
      </c>
    </row>
    <row r="675" spans="1:7" x14ac:dyDescent="0.3">
      <c r="A675" s="44" t="s">
        <v>223</v>
      </c>
      <c r="B675" s="45" t="s">
        <v>295</v>
      </c>
      <c r="C675" s="45">
        <v>3156</v>
      </c>
      <c r="D675" s="45" t="s">
        <v>218</v>
      </c>
      <c r="E675" s="46">
        <v>41913</v>
      </c>
      <c r="F675" s="47" t="s">
        <v>221</v>
      </c>
      <c r="G675" t="str" cm="1">
        <f t="array" ref="G675">_xlfn.IFS(C674&lt;=1000,"LOW",C674&lt;=2500,"MEDIUM",C674&gt;2500,"HIGH")</f>
        <v>HIGH</v>
      </c>
    </row>
    <row r="676" spans="1:7" x14ac:dyDescent="0.3">
      <c r="A676" s="44" t="s">
        <v>233</v>
      </c>
      <c r="B676" s="45" t="s">
        <v>285</v>
      </c>
      <c r="C676" s="45">
        <v>3157</v>
      </c>
      <c r="D676" s="45" t="s">
        <v>215</v>
      </c>
      <c r="E676" s="46">
        <v>41839</v>
      </c>
      <c r="F676" s="47" t="s">
        <v>228</v>
      </c>
      <c r="G676" t="str" cm="1">
        <f t="array" ref="G676">_xlfn.IFS(C675&lt;=1000,"LOW",C675&lt;=2500,"MEDIUM",C675&gt;2500,"HIGH")</f>
        <v>HIGH</v>
      </c>
    </row>
    <row r="677" spans="1:7" x14ac:dyDescent="0.3">
      <c r="A677" s="44" t="s">
        <v>233</v>
      </c>
      <c r="B677" s="45" t="s">
        <v>250</v>
      </c>
      <c r="C677" s="45">
        <v>3158</v>
      </c>
      <c r="D677" s="45" t="s">
        <v>222</v>
      </c>
      <c r="E677" s="46">
        <v>42122</v>
      </c>
      <c r="F677" s="47" t="s">
        <v>216</v>
      </c>
      <c r="G677" t="str" cm="1">
        <f t="array" ref="G677">_xlfn.IFS(C676&lt;=1000,"LOW",C676&lt;=2500,"MEDIUM",C676&gt;2500,"HIGH")</f>
        <v>HIGH</v>
      </c>
    </row>
    <row r="678" spans="1:7" x14ac:dyDescent="0.3">
      <c r="A678" s="44" t="s">
        <v>236</v>
      </c>
      <c r="B678" s="45" t="s">
        <v>237</v>
      </c>
      <c r="C678" s="45">
        <v>3161</v>
      </c>
      <c r="D678" s="45" t="s">
        <v>230</v>
      </c>
      <c r="E678" s="46">
        <v>41697</v>
      </c>
      <c r="F678" s="47" t="s">
        <v>212</v>
      </c>
      <c r="G678" t="str" cm="1">
        <f t="array" ref="G678">_xlfn.IFS(C677&lt;=1000,"LOW",C677&lt;=2500,"MEDIUM",C677&gt;2500,"HIGH")</f>
        <v>HIGH</v>
      </c>
    </row>
    <row r="679" spans="1:7" x14ac:dyDescent="0.3">
      <c r="A679" s="44" t="s">
        <v>233</v>
      </c>
      <c r="B679" s="45" t="s">
        <v>248</v>
      </c>
      <c r="C679" s="45">
        <v>3176</v>
      </c>
      <c r="D679" s="45" t="s">
        <v>225</v>
      </c>
      <c r="E679" s="46">
        <v>41845</v>
      </c>
      <c r="F679" s="47" t="s">
        <v>228</v>
      </c>
      <c r="G679" t="str" cm="1">
        <f t="array" ref="G679">_xlfn.IFS(C678&lt;=1000,"LOW",C678&lt;=2500,"MEDIUM",C678&gt;2500,"HIGH")</f>
        <v>HIGH</v>
      </c>
    </row>
    <row r="680" spans="1:7" x14ac:dyDescent="0.3">
      <c r="A680" s="44" t="s">
        <v>223</v>
      </c>
      <c r="B680" s="45" t="s">
        <v>263</v>
      </c>
      <c r="C680" s="45">
        <v>3180</v>
      </c>
      <c r="D680" s="45" t="s">
        <v>230</v>
      </c>
      <c r="E680" s="46">
        <v>41712</v>
      </c>
      <c r="F680" s="47" t="s">
        <v>212</v>
      </c>
      <c r="G680" t="str" cm="1">
        <f t="array" ref="G680">_xlfn.IFS(C679&lt;=1000,"LOW",C679&lt;=2500,"MEDIUM",C679&gt;2500,"HIGH")</f>
        <v>HIGH</v>
      </c>
    </row>
    <row r="681" spans="1:7" x14ac:dyDescent="0.3">
      <c r="A681" s="44" t="s">
        <v>236</v>
      </c>
      <c r="B681" s="45" t="s">
        <v>286</v>
      </c>
      <c r="C681" s="45">
        <v>3182</v>
      </c>
      <c r="D681" s="45" t="s">
        <v>222</v>
      </c>
      <c r="E681" s="46">
        <v>41866</v>
      </c>
      <c r="F681" s="47" t="s">
        <v>228</v>
      </c>
      <c r="G681" t="str" cm="1">
        <f t="array" ref="G681">_xlfn.IFS(C680&lt;=1000,"LOW",C680&lt;=2500,"MEDIUM",C680&gt;2500,"HIGH")</f>
        <v>HIGH</v>
      </c>
    </row>
    <row r="682" spans="1:7" x14ac:dyDescent="0.3">
      <c r="A682" s="44" t="s">
        <v>213</v>
      </c>
      <c r="B682" s="45" t="s">
        <v>214</v>
      </c>
      <c r="C682" s="45">
        <v>3186</v>
      </c>
      <c r="D682" s="45" t="s">
        <v>230</v>
      </c>
      <c r="E682" s="46">
        <v>41792</v>
      </c>
      <c r="F682" s="47" t="s">
        <v>216</v>
      </c>
      <c r="G682" t="str" cm="1">
        <f t="array" ref="G682">_xlfn.IFS(C681&lt;=1000,"LOW",C681&lt;=2500,"MEDIUM",C681&gt;2500,"HIGH")</f>
        <v>HIGH</v>
      </c>
    </row>
    <row r="683" spans="1:7" x14ac:dyDescent="0.3">
      <c r="A683" s="44" t="s">
        <v>223</v>
      </c>
      <c r="B683" s="45" t="s">
        <v>282</v>
      </c>
      <c r="C683" s="45">
        <v>3193</v>
      </c>
      <c r="D683" s="45" t="s">
        <v>220</v>
      </c>
      <c r="E683" s="46">
        <v>41870</v>
      </c>
      <c r="F683" s="47" t="s">
        <v>228</v>
      </c>
      <c r="G683" t="str" cm="1">
        <f t="array" ref="G683">_xlfn.IFS(C682&lt;=1000,"LOW",C682&lt;=2500,"MEDIUM",C682&gt;2500,"HIGH")</f>
        <v>HIGH</v>
      </c>
    </row>
    <row r="684" spans="1:7" x14ac:dyDescent="0.3">
      <c r="A684" s="44" t="s">
        <v>231</v>
      </c>
      <c r="B684" s="45" t="s">
        <v>302</v>
      </c>
      <c r="C684" s="45">
        <v>3195</v>
      </c>
      <c r="D684" s="45" t="s">
        <v>218</v>
      </c>
      <c r="E684" s="46">
        <v>41762</v>
      </c>
      <c r="F684" s="47" t="s">
        <v>216</v>
      </c>
      <c r="G684" t="str" cm="1">
        <f t="array" ref="G684">_xlfn.IFS(C683&lt;=1000,"LOW",C683&lt;=2500,"MEDIUM",C683&gt;2500,"HIGH")</f>
        <v>HIGH</v>
      </c>
    </row>
    <row r="685" spans="1:7" x14ac:dyDescent="0.3">
      <c r="A685" s="44" t="s">
        <v>231</v>
      </c>
      <c r="B685" s="45" t="s">
        <v>289</v>
      </c>
      <c r="C685" s="45">
        <v>3199</v>
      </c>
      <c r="D685" s="45" t="s">
        <v>245</v>
      </c>
      <c r="E685" s="46">
        <v>42038</v>
      </c>
      <c r="F685" s="47" t="s">
        <v>212</v>
      </c>
      <c r="G685" t="str" cm="1">
        <f t="array" ref="G685">_xlfn.IFS(C684&lt;=1000,"LOW",C684&lt;=2500,"MEDIUM",C684&gt;2500,"HIGH")</f>
        <v>HIGH</v>
      </c>
    </row>
    <row r="686" spans="1:7" x14ac:dyDescent="0.3">
      <c r="A686" s="44" t="s">
        <v>231</v>
      </c>
      <c r="B686" s="45" t="s">
        <v>232</v>
      </c>
      <c r="C686" s="45">
        <v>3202</v>
      </c>
      <c r="D686" s="45" t="s">
        <v>225</v>
      </c>
      <c r="E686" s="46">
        <v>41749</v>
      </c>
      <c r="F686" s="47" t="s">
        <v>216</v>
      </c>
      <c r="G686" t="str" cm="1">
        <f t="array" ref="G686">_xlfn.IFS(C685&lt;=1000,"LOW",C685&lt;=2500,"MEDIUM",C685&gt;2500,"HIGH")</f>
        <v>HIGH</v>
      </c>
    </row>
    <row r="687" spans="1:7" x14ac:dyDescent="0.3">
      <c r="A687" s="44" t="s">
        <v>213</v>
      </c>
      <c r="B687" s="45" t="s">
        <v>299</v>
      </c>
      <c r="C687" s="45">
        <v>3208</v>
      </c>
      <c r="D687" s="45" t="s">
        <v>222</v>
      </c>
      <c r="E687" s="46">
        <v>42152</v>
      </c>
      <c r="F687" s="47" t="s">
        <v>216</v>
      </c>
      <c r="G687" t="str" cm="1">
        <f t="array" ref="G687">_xlfn.IFS(C686&lt;=1000,"LOW",C686&lt;=2500,"MEDIUM",C686&gt;2500,"HIGH")</f>
        <v>HIGH</v>
      </c>
    </row>
    <row r="688" spans="1:7" x14ac:dyDescent="0.3">
      <c r="A688" s="44" t="s">
        <v>231</v>
      </c>
      <c r="B688" s="45" t="s">
        <v>244</v>
      </c>
      <c r="C688" s="45">
        <v>3216</v>
      </c>
      <c r="D688" s="45" t="s">
        <v>218</v>
      </c>
      <c r="E688" s="46">
        <v>41785</v>
      </c>
      <c r="F688" s="47" t="s">
        <v>216</v>
      </c>
      <c r="G688" t="str" cm="1">
        <f t="array" ref="G688">_xlfn.IFS(C687&lt;=1000,"LOW",C687&lt;=2500,"MEDIUM",C687&gt;2500,"HIGH")</f>
        <v>HIGH</v>
      </c>
    </row>
    <row r="689" spans="1:7" x14ac:dyDescent="0.3">
      <c r="A689" s="44" t="s">
        <v>209</v>
      </c>
      <c r="B689" s="45" t="s">
        <v>219</v>
      </c>
      <c r="C689" s="45">
        <v>3221</v>
      </c>
      <c r="D689" s="45" t="s">
        <v>215</v>
      </c>
      <c r="E689" s="46">
        <v>42164</v>
      </c>
      <c r="F689" s="47" t="s">
        <v>216</v>
      </c>
      <c r="G689" t="str" cm="1">
        <f t="array" ref="G689">_xlfn.IFS(C688&lt;=1000,"LOW",C688&lt;=2500,"MEDIUM",C688&gt;2500,"HIGH")</f>
        <v>HIGH</v>
      </c>
    </row>
    <row r="690" spans="1:7" x14ac:dyDescent="0.3">
      <c r="A690" s="44" t="s">
        <v>209</v>
      </c>
      <c r="B690" s="45" t="s">
        <v>307</v>
      </c>
      <c r="C690" s="45">
        <v>3224</v>
      </c>
      <c r="D690" s="45" t="s">
        <v>218</v>
      </c>
      <c r="E690" s="46">
        <v>42359</v>
      </c>
      <c r="F690" s="47" t="s">
        <v>221</v>
      </c>
      <c r="G690" t="str" cm="1">
        <f t="array" ref="G690">_xlfn.IFS(C689&lt;=1000,"LOW",C689&lt;=2500,"MEDIUM",C689&gt;2500,"HIGH")</f>
        <v>HIGH</v>
      </c>
    </row>
    <row r="691" spans="1:7" x14ac:dyDescent="0.3">
      <c r="A691" s="44" t="s">
        <v>213</v>
      </c>
      <c r="B691" s="45" t="s">
        <v>299</v>
      </c>
      <c r="C691" s="45">
        <v>3225</v>
      </c>
      <c r="D691" s="45" t="s">
        <v>230</v>
      </c>
      <c r="E691" s="46">
        <v>41641</v>
      </c>
      <c r="F691" s="47" t="s">
        <v>212</v>
      </c>
      <c r="G691" t="str" cm="1">
        <f t="array" ref="G691">_xlfn.IFS(C690&lt;=1000,"LOW",C690&lt;=2500,"MEDIUM",C690&gt;2500,"HIGH")</f>
        <v>HIGH</v>
      </c>
    </row>
    <row r="692" spans="1:7" x14ac:dyDescent="0.3">
      <c r="A692" s="44" t="s">
        <v>209</v>
      </c>
      <c r="B692" s="45" t="s">
        <v>210</v>
      </c>
      <c r="C692" s="45">
        <v>3232</v>
      </c>
      <c r="D692" s="45" t="s">
        <v>225</v>
      </c>
      <c r="E692" s="46">
        <v>41724</v>
      </c>
      <c r="F692" s="47" t="s">
        <v>212</v>
      </c>
      <c r="G692" t="str" cm="1">
        <f t="array" ref="G692">_xlfn.IFS(C691&lt;=1000,"LOW",C691&lt;=2500,"MEDIUM",C691&gt;2500,"HIGH")</f>
        <v>HIGH</v>
      </c>
    </row>
    <row r="693" spans="1:7" x14ac:dyDescent="0.3">
      <c r="A693" s="44" t="s">
        <v>213</v>
      </c>
      <c r="B693" s="45" t="s">
        <v>256</v>
      </c>
      <c r="C693" s="45">
        <v>3232</v>
      </c>
      <c r="D693" s="45" t="s">
        <v>230</v>
      </c>
      <c r="E693" s="46">
        <v>41949</v>
      </c>
      <c r="F693" s="47" t="s">
        <v>221</v>
      </c>
      <c r="G693" t="str" cm="1">
        <f t="array" ref="G693">_xlfn.IFS(C692&lt;=1000,"LOW",C692&lt;=2500,"MEDIUM",C692&gt;2500,"HIGH")</f>
        <v>HIGH</v>
      </c>
    </row>
    <row r="694" spans="1:7" x14ac:dyDescent="0.3">
      <c r="A694" s="44" t="s">
        <v>209</v>
      </c>
      <c r="B694" s="45" t="s">
        <v>297</v>
      </c>
      <c r="C694" s="45">
        <v>3235</v>
      </c>
      <c r="D694" s="45" t="s">
        <v>235</v>
      </c>
      <c r="E694" s="46">
        <v>41684</v>
      </c>
      <c r="F694" s="47" t="s">
        <v>212</v>
      </c>
      <c r="G694" t="str" cm="1">
        <f t="array" ref="G694">_xlfn.IFS(C693&lt;=1000,"LOW",C693&lt;=2500,"MEDIUM",C693&gt;2500,"HIGH")</f>
        <v>HIGH</v>
      </c>
    </row>
    <row r="695" spans="1:7" x14ac:dyDescent="0.3">
      <c r="A695" s="44" t="s">
        <v>213</v>
      </c>
      <c r="B695" s="45" t="s">
        <v>217</v>
      </c>
      <c r="C695" s="45">
        <v>3241</v>
      </c>
      <c r="D695" s="45" t="s">
        <v>230</v>
      </c>
      <c r="E695" s="46">
        <v>41719</v>
      </c>
      <c r="F695" s="47" t="s">
        <v>212</v>
      </c>
      <c r="G695" t="str" cm="1">
        <f t="array" ref="G695">_xlfn.IFS(C694&lt;=1000,"LOW",C694&lt;=2500,"MEDIUM",C694&gt;2500,"HIGH")</f>
        <v>HIGH</v>
      </c>
    </row>
    <row r="696" spans="1:7" x14ac:dyDescent="0.3">
      <c r="A696" s="44" t="s">
        <v>233</v>
      </c>
      <c r="B696" s="45" t="s">
        <v>258</v>
      </c>
      <c r="C696" s="45">
        <v>3244</v>
      </c>
      <c r="D696" s="45" t="s">
        <v>225</v>
      </c>
      <c r="E696" s="46">
        <v>42250</v>
      </c>
      <c r="F696" s="47" t="s">
        <v>228</v>
      </c>
      <c r="G696" t="str" cm="1">
        <f t="array" ref="G696">_xlfn.IFS(C695&lt;=1000,"LOW",C695&lt;=2500,"MEDIUM",C695&gt;2500,"HIGH")</f>
        <v>HIGH</v>
      </c>
    </row>
    <row r="697" spans="1:7" x14ac:dyDescent="0.3">
      <c r="A697" s="44" t="s">
        <v>223</v>
      </c>
      <c r="B697" s="45" t="s">
        <v>290</v>
      </c>
      <c r="C697" s="45">
        <v>3245</v>
      </c>
      <c r="D697" s="45" t="s">
        <v>230</v>
      </c>
      <c r="E697" s="46">
        <v>42046</v>
      </c>
      <c r="F697" s="47" t="s">
        <v>212</v>
      </c>
      <c r="G697" t="str" cm="1">
        <f t="array" ref="G697">_xlfn.IFS(C696&lt;=1000,"LOW",C696&lt;=2500,"MEDIUM",C696&gt;2500,"HIGH")</f>
        <v>HIGH</v>
      </c>
    </row>
    <row r="698" spans="1:7" x14ac:dyDescent="0.3">
      <c r="A698" s="44" t="s">
        <v>236</v>
      </c>
      <c r="B698" s="45" t="s">
        <v>291</v>
      </c>
      <c r="C698" s="45">
        <v>3251</v>
      </c>
      <c r="D698" s="45" t="s">
        <v>218</v>
      </c>
      <c r="E698" s="46">
        <v>41760</v>
      </c>
      <c r="F698" s="47" t="s">
        <v>216</v>
      </c>
      <c r="G698" t="str" cm="1">
        <f t="array" ref="G698">_xlfn.IFS(C697&lt;=1000,"LOW",C697&lt;=2500,"MEDIUM",C697&gt;2500,"HIGH")</f>
        <v>HIGH</v>
      </c>
    </row>
    <row r="699" spans="1:7" x14ac:dyDescent="0.3">
      <c r="A699" s="44" t="s">
        <v>231</v>
      </c>
      <c r="B699" s="45" t="s">
        <v>271</v>
      </c>
      <c r="C699" s="45">
        <v>3253</v>
      </c>
      <c r="D699" s="45" t="s">
        <v>230</v>
      </c>
      <c r="E699" s="46">
        <v>42193</v>
      </c>
      <c r="F699" s="47" t="s">
        <v>228</v>
      </c>
      <c r="G699" t="str" cm="1">
        <f t="array" ref="G699">_xlfn.IFS(C698&lt;=1000,"LOW",C698&lt;=2500,"MEDIUM",C698&gt;2500,"HIGH")</f>
        <v>HIGH</v>
      </c>
    </row>
    <row r="700" spans="1:7" ht="15" thickBot="1" x14ac:dyDescent="0.35">
      <c r="A700" s="48" t="s">
        <v>209</v>
      </c>
      <c r="B700" s="49" t="s">
        <v>261</v>
      </c>
      <c r="C700" s="49">
        <v>3256</v>
      </c>
      <c r="D700" s="49" t="s">
        <v>220</v>
      </c>
      <c r="E700" s="50">
        <v>42332</v>
      </c>
      <c r="F700" s="51" t="s">
        <v>221</v>
      </c>
      <c r="G700" t="str" cm="1">
        <f t="array" ref="G700">_xlfn.IFS(C699&lt;=1000,"LOW",C699&lt;=2500,"MEDIUM",C699&gt;2500,"HIGH")</f>
        <v>HIGH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9D3A-28BC-4E23-A33E-AC30D32150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class 1</vt:lpstr>
      <vt:lpstr>class 2</vt:lpstr>
      <vt:lpstr>class 3</vt:lpstr>
      <vt:lpstr>Detail1</vt:lpstr>
      <vt:lpstr>CLASS 4</vt:lpstr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lunawat</dc:creator>
  <cp:lastModifiedBy>komal lunawat</cp:lastModifiedBy>
  <dcterms:created xsi:type="dcterms:W3CDTF">2025-08-31T08:43:50Z</dcterms:created>
  <dcterms:modified xsi:type="dcterms:W3CDTF">2026-08-16T20:05:05Z</dcterms:modified>
</cp:coreProperties>
</file>